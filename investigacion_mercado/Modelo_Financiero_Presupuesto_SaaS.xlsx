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Parametros_y_Fuentes" sheetId="1" state="visible" r:id="rId1"/>
    <sheet xmlns:r="http://schemas.openxmlformats.org/officeDocument/2006/relationships" name="2. Presupuesto_CAPEX_Unitario" sheetId="2" state="visible" r:id="rId2"/>
    <sheet xmlns:r="http://schemas.openxmlformats.org/officeDocument/2006/relationships" name="3. Deuda_y_Amortizacion" sheetId="3" state="visible" r:id="rId3"/>
    <sheet xmlns:r="http://schemas.openxmlformats.org/officeDocument/2006/relationships" name="4. Factura_Cliente_y_Ahorro" sheetId="4" state="visible" r:id="rId4"/>
    <sheet xmlns:r="http://schemas.openxmlformats.org/officeDocument/2006/relationships" name="5. Flujo_Caja_10A_Portafol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#,##0.0"/>
    <numFmt numFmtId="165" formatCode="0.0%"/>
    <numFmt numFmtId="166" formatCode="$#,##0"/>
    <numFmt numFmtId="167" formatCode="0.000%"/>
    <numFmt numFmtId="168" formatCode="$#,##0.0"/>
    <numFmt numFmtId="169" formatCode="$#,##0.0 M COP"/>
    <numFmt numFmtId="170" formatCode="0.0 &quot;años&quot;"/>
    <numFmt numFmtId="171" formatCode="0.00x"/>
  </numFmts>
  <fonts count="1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i val="1"/>
      <color rgb="0064748B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color rgb="000284C7"/>
      <sz val="10"/>
      <u val="single"/>
    </font>
    <font>
      <name val="Calibri"/>
      <b val="1"/>
      <color rgb="00B45309"/>
      <sz val="11"/>
    </font>
    <font>
      <name val="Calibri"/>
      <b val="1"/>
      <color rgb="00DC2626"/>
      <sz val="9"/>
    </font>
    <font>
      <name val="Calibri"/>
      <b val="1"/>
      <color rgb="00B45309"/>
      <sz val="10"/>
    </font>
    <font>
      <name val="Calibri"/>
      <b val="1"/>
      <color rgb="001E293B"/>
      <sz val="11"/>
    </font>
    <font>
      <name val="Calibri"/>
      <b val="1"/>
      <color rgb="00047857"/>
      <sz val="11"/>
    </font>
    <font>
      <name val="Calibri"/>
      <b val="1"/>
      <color rgb="000F766E"/>
      <sz val="11"/>
    </font>
  </fonts>
  <fills count="7">
    <fill>
      <patternFill/>
    </fill>
    <fill>
      <patternFill patternType="gray125"/>
    </fill>
    <fill>
      <patternFill patternType="solid">
        <fgColor rgb="00B45309"/>
        <bgColor rgb="00B45309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CCFBF1"/>
        <bgColor rgb="00CCFB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6" fillId="0" borderId="1" pivotButton="0" quotePrefix="0" xfId="0"/>
    <xf numFmtId="0" fontId="4" fillId="3" borderId="1" pivotButton="0" quotePrefix="0" xfId="0"/>
    <xf numFmtId="164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0" fontId="5" fillId="3" borderId="1" pivotButton="0" quotePrefix="0" xfId="0"/>
    <xf numFmtId="0" fontId="6" fillId="3" borderId="1" pivotButton="0" quotePrefix="0" xfId="0"/>
    <xf numFmtId="165" fontId="0" fillId="0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0" fontId="0" fillId="3" borderId="1" pivotButton="0" quotePrefix="0" xfId="0"/>
    <xf numFmtId="166" fontId="0" fillId="0" borderId="1" applyAlignment="1" pivotButton="0" quotePrefix="0" xfId="0">
      <alignment horizontal="right" vertical="center"/>
    </xf>
    <xf numFmtId="166" fontId="0" fillId="3" borderId="1" applyAlignment="1" pivotButton="0" quotePrefix="0" xfId="0">
      <alignment horizontal="right" vertical="center"/>
    </xf>
    <xf numFmtId="0" fontId="0" fillId="0" borderId="1" pivotButton="0" quotePrefix="0" xfId="0"/>
    <xf numFmtId="165" fontId="0" fillId="3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6" fontId="4" fillId="3" borderId="1" applyAlignment="1" pivotButton="0" quotePrefix="0" xfId="0">
      <alignment horizontal="right" vertical="center"/>
    </xf>
    <xf numFmtId="0" fontId="4" fillId="0" borderId="0" pivotButton="0" quotePrefix="0" xfId="0"/>
    <xf numFmtId="166" fontId="4" fillId="4" borderId="0" pivotButton="0" quotePrefix="0" xfId="0"/>
    <xf numFmtId="166" fontId="4" fillId="0" borderId="0" pivotButton="0" quotePrefix="0" xfId="0"/>
    <xf numFmtId="0" fontId="7" fillId="0" borderId="0" pivotButton="0" quotePrefix="0" xfId="0"/>
    <xf numFmtId="166" fontId="0" fillId="0" borderId="1" pivotButton="0" quotePrefix="0" xfId="0"/>
    <xf numFmtId="0" fontId="2" fillId="0" borderId="1" pivotButton="0" quotePrefix="0" xfId="0"/>
    <xf numFmtId="166" fontId="4" fillId="5" borderId="0" pivotButton="0" quotePrefix="0" xfId="0"/>
    <xf numFmtId="0" fontId="8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0" fontId="9" fillId="0" borderId="0" pivotButton="0" quotePrefix="0" xfId="0"/>
    <xf numFmtId="166" fontId="10" fillId="4" borderId="0" pivotButton="0" quotePrefix="0" xfId="0"/>
    <xf numFmtId="166" fontId="0" fillId="3" borderId="1" pivotButton="0" quotePrefix="0" xfId="0"/>
    <xf numFmtId="3" fontId="0" fillId="0" borderId="1" pivotButton="0" quotePrefix="0" xfId="0"/>
    <xf numFmtId="164" fontId="0" fillId="3" borderId="1" pivotButton="0" quotePrefix="0" xfId="0"/>
    <xf numFmtId="164" fontId="0" fillId="0" borderId="1" pivotButton="0" quotePrefix="0" xfId="0"/>
    <xf numFmtId="168" fontId="0" fillId="0" borderId="1" pivotButton="0" quotePrefix="0" xfId="0"/>
    <xf numFmtId="166" fontId="4" fillId="3" borderId="1" pivotButton="0" quotePrefix="0" xfId="0"/>
    <xf numFmtId="166" fontId="11" fillId="3" borderId="1" pivotButton="0" quotePrefix="0" xfId="0"/>
    <xf numFmtId="166" fontId="4" fillId="0" borderId="1" pivotButton="0" quotePrefix="0" xfId="0"/>
    <xf numFmtId="166" fontId="11" fillId="6" borderId="1" pivotButton="0" quotePrefix="0" xfId="0"/>
    <xf numFmtId="165" fontId="0" fillId="3" borderId="1" pivotButton="0" quotePrefix="0" xfId="0"/>
    <xf numFmtId="165" fontId="11" fillId="3" borderId="1" pivotButton="0" quotePrefix="0" xfId="0"/>
    <xf numFmtId="168" fontId="11" fillId="6" borderId="1" pivotButton="0" quotePrefix="0" xfId="0"/>
    <xf numFmtId="0" fontId="0" fillId="0" borderId="0" applyAlignment="1" pivotButton="0" quotePrefix="0" xfId="0">
      <alignment horizontal="center" vertical="center"/>
    </xf>
    <xf numFmtId="168" fontId="4" fillId="0" borderId="1" pivotButton="0" quotePrefix="0" xfId="0"/>
    <xf numFmtId="168" fontId="0" fillId="3" borderId="1" pivotButton="0" quotePrefix="0" xfId="0"/>
    <xf numFmtId="168" fontId="4" fillId="6" borderId="1" pivotButton="0" quotePrefix="0" xfId="0"/>
    <xf numFmtId="165" fontId="12" fillId="6" borderId="1" pivotButton="0" quotePrefix="0" xfId="0"/>
    <xf numFmtId="169" fontId="12" fillId="6" borderId="1" pivotButton="0" quotePrefix="0" xfId="0"/>
    <xf numFmtId="10" fontId="12" fillId="6" borderId="1" pivotButton="0" quotePrefix="0" xfId="0"/>
    <xf numFmtId="170" fontId="12" fillId="6" borderId="1" pivotButton="0" quotePrefix="0" xfId="0"/>
    <xf numFmtId="171" fontId="1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lobalsolaratlas.info/" TargetMode="External" Id="rId1"/><Relationship Type="http://schemas.openxmlformats.org/officeDocument/2006/relationships/hyperlink" Target="https://globalsolaratlas.info/" TargetMode="External" Id="rId2"/><Relationship Type="http://schemas.openxmlformats.org/officeDocument/2006/relationships/hyperlink" Target="https://globalsolaratlas.info/" TargetMode="External" Id="rId3"/><Relationship Type="http://schemas.openxmlformats.org/officeDocument/2006/relationships/hyperlink" Target="https://www.meicosolar.com/" TargetMode="External" Id="rId4"/><Relationship Type="http://schemas.openxmlformats.org/officeDocument/2006/relationships/hyperlink" Target="https://celsasolar.com/" TargetMode="External" Id="rId5"/><Relationship Type="http://schemas.openxmlformats.org/officeDocument/2006/relationships/hyperlink" Target="https://www.eep.com.co/" TargetMode="External" Id="rId6"/><Relationship Type="http://schemas.openxmlformats.org/officeDocument/2006/relationships/hyperlink" Target="https://www.banrep.gov.co/" TargetMode="External" Id="rId7"/><Relationship Type="http://schemas.openxmlformats.org/officeDocument/2006/relationships/hyperlink" Target="https://www.findeter.gov.co/" TargetMode="External" Id="rId8"/><Relationship Type="http://schemas.openxmlformats.org/officeDocument/2006/relationships/hyperlink" Target="http://www.secretariasenado.gov.co/senado/basedoc/ley_1715_2014.html" TargetMode="External" Id="rId9"/><Relationship Type="http://schemas.openxmlformats.org/officeDocument/2006/relationships/hyperlink" Target="http://www.secretariasenado.gov.co/senado/basedoc/ley_2099_2021.html" TargetMode="External" Id="rId10"/><Relationship Type="http://schemas.openxmlformats.org/officeDocument/2006/relationships/hyperlink" Target="http://www.secretariasenado.gov.co/senado/basedoc/ley_1715_2014.html" TargetMode="External" Id="rId11"/><Relationship Type="http://schemas.openxmlformats.org/officeDocument/2006/relationships/hyperlink" Target="http://www.secretariasenado.gov.co/senado/basedoc/ley_1715_2014.html" TargetMode="External" Id="rId12"/><Relationship Type="http://schemas.openxmlformats.org/officeDocument/2006/relationships/hyperlink" Target="https://gestornormativo.creg.gov.co/gestor/entorno/docs/resolucion_creg_0174_2021.htm" TargetMode="External" Id="rId13"/><Relationship Type="http://schemas.openxmlformats.org/officeDocument/2006/relationships/hyperlink" Target="https://www.garantiasmobiliarias.com.co/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85" customWidth="1" min="1" max="1"/>
    <col width="20" customWidth="1" min="2" max="2"/>
    <col width="14" customWidth="1" min="3" max="3"/>
    <col width="90" customWidth="1" min="4" max="4"/>
    <col width="88" customWidth="1" min="5" max="5"/>
  </cols>
  <sheetData>
    <row r="1">
      <c r="A1" s="1" t="inlineStr">
        <is>
          <t>MODELO FINANCIERO Y PRESUPUESTO - SOLAR AS A SERVICE (PEREIRA)</t>
        </is>
      </c>
    </row>
    <row r="2">
      <c r="A2" s="2" t="inlineStr">
        <is>
          <t>Hoja 1: Parámetros Técnicos, Variables Económicas y Fuentes Oficiales Verificables</t>
        </is>
      </c>
    </row>
    <row r="3"/>
    <row r="4">
      <c r="A4" s="3" t="inlineStr">
        <is>
          <t>Variable / Parámetro</t>
        </is>
      </c>
      <c r="B4" s="3" t="inlineStr">
        <is>
          <t>Valor</t>
        </is>
      </c>
      <c r="C4" s="3" t="inlineStr">
        <is>
          <t>Unidad</t>
        </is>
      </c>
      <c r="D4" s="3" t="inlineStr">
        <is>
          <t>Descripción / Fundamento Técnico</t>
        </is>
      </c>
      <c r="E4" s="3" t="inlineStr">
        <is>
          <t>Enlace a Fuente Oficial Web</t>
        </is>
      </c>
    </row>
    <row r="5">
      <c r="A5" s="4" t="inlineStr">
        <is>
          <t>Radiación Solar GHI Pereira</t>
        </is>
      </c>
      <c r="B5" s="5" t="n">
        <v>4.88</v>
      </c>
      <c r="C5" s="6" t="inlineStr">
        <is>
          <t>kWh/m²/día</t>
        </is>
      </c>
      <c r="D5" s="7" t="inlineStr">
        <is>
          <t>Promedio multianual satelital (1.782,9 kWh/m²/año)</t>
        </is>
      </c>
      <c r="E5" s="8" t="inlineStr">
        <is>
          <t>https://globalsolaratlas.info/</t>
        </is>
      </c>
    </row>
    <row r="6">
      <c r="A6" s="9" t="inlineStr">
        <is>
          <t>Rendimiento Específico PVOUT</t>
        </is>
      </c>
      <c r="B6" s="10" t="n">
        <v>121.4</v>
      </c>
      <c r="C6" s="11" t="inlineStr">
        <is>
          <t>kWh/kWp/mes</t>
        </is>
      </c>
      <c r="D6" s="12" t="inlineStr">
        <is>
          <t>Generación específica certificada por Solargis (1.457,4 kWh/kWp/año)</t>
        </is>
      </c>
      <c r="E6" s="13" t="inlineStr">
        <is>
          <t>https://globalsolaratlas.info/</t>
        </is>
      </c>
    </row>
    <row r="7">
      <c r="A7" s="4" t="inlineStr">
        <is>
          <t>Performance Ratio (PR)</t>
        </is>
      </c>
      <c r="B7" s="14" t="n">
        <v>0.8</v>
      </c>
      <c r="C7" s="6" t="inlineStr">
        <is>
          <t>%</t>
        </is>
      </c>
      <c r="D7" s="7" t="inlineStr">
        <is>
          <t>Factor de rendimiento por pérdidas térmicas, cableado y polvo (ya incorporado en PVOUT)</t>
        </is>
      </c>
      <c r="E7" s="8" t="inlineStr">
        <is>
          <t>https://globalsolaratlas.info/</t>
        </is>
      </c>
    </row>
    <row r="8">
      <c r="A8" s="9" t="inlineStr">
        <is>
          <t>Potencia Sistema Comercial Típico</t>
        </is>
      </c>
      <c r="B8" s="10" t="n">
        <v>15.4</v>
      </c>
      <c r="C8" s="11" t="inlineStr">
        <is>
          <t>kWp DC</t>
        </is>
      </c>
      <c r="D8" s="12" t="inlineStr">
        <is>
          <t>28 módulos bifaciales N-Type TOPCon de 550 Wp</t>
        </is>
      </c>
      <c r="E8" s="13" t="inlineStr">
        <is>
          <t>https://www.meicosolar.com/</t>
        </is>
      </c>
    </row>
    <row r="9">
      <c r="A9" s="4" t="inlineStr">
        <is>
          <t>Capacidad Nominal Inversor</t>
        </is>
      </c>
      <c r="B9" s="15" t="n">
        <v>15</v>
      </c>
      <c r="C9" s="6" t="inlineStr">
        <is>
          <t>kW AC</t>
        </is>
      </c>
      <c r="D9" s="7" t="inlineStr">
        <is>
          <t>Inversor trifásico con 2 seguidores MPPT y módem 4G</t>
        </is>
      </c>
      <c r="E9" s="8" t="inlineStr">
        <is>
          <t>https://celsasolar.com/</t>
        </is>
      </c>
    </row>
    <row r="10">
      <c r="A10" s="9" t="inlineStr">
        <is>
          <t>Generación Mensual Estimada</t>
        </is>
      </c>
      <c r="B10" s="16">
        <f>B8*B6</f>
        <v/>
      </c>
      <c r="C10" s="11" t="inlineStr">
        <is>
          <t>kWh/mes</t>
        </is>
      </c>
      <c r="D10" s="12" t="inlineStr">
        <is>
          <t>Fórmula: Potencia * PVOUT mensual (PVOUT de Solargis ya incluye el PR)</t>
        </is>
      </c>
      <c r="E10" s="17" t="inlineStr">
        <is>
          <t>Cálculo Dinámico</t>
        </is>
      </c>
    </row>
    <row r="11">
      <c r="A11" s="4" t="inlineStr">
        <is>
          <t>Tarifa Comercial EEP (Nivel 1)</t>
        </is>
      </c>
      <c r="B11" s="18" t="n">
        <v>980</v>
      </c>
      <c r="C11" s="6" t="inlineStr">
        <is>
          <t>COP/kWh</t>
        </is>
      </c>
      <c r="D11" s="7" t="inlineStr">
        <is>
          <t>Costo Unitario (CU) de EEP + Contribución 20% Ley 142</t>
        </is>
      </c>
      <c r="E11" s="8" t="inlineStr">
        <is>
          <t>https://www.eep.com.co/</t>
        </is>
      </c>
    </row>
    <row r="12">
      <c r="A12" s="9" t="inlineStr">
        <is>
          <t>Cuota Fija Mensual Suscripción SaaS</t>
        </is>
      </c>
      <c r="B12" s="19" t="n">
        <v>1250000</v>
      </c>
      <c r="C12" s="11" t="inlineStr">
        <is>
          <t>COP/mes</t>
        </is>
      </c>
      <c r="D12" s="12" t="inlineStr">
        <is>
          <t>Cuota fija predecible por disponibilidad de 15 kWp (ahorro neto ~25.5%)</t>
        </is>
      </c>
      <c r="E12" s="17" t="inlineStr">
        <is>
          <t>Estrategia Comercial SaaS</t>
        </is>
      </c>
    </row>
    <row r="13">
      <c r="A13" s="4" t="inlineStr">
        <is>
          <t>Tarifa Solar Equivalente SaaS</t>
        </is>
      </c>
      <c r="B13" s="5">
        <f>B12/B10</f>
        <v/>
      </c>
      <c r="C13" s="6" t="inlineStr">
        <is>
          <t>COP/kWh</t>
        </is>
      </c>
      <c r="D13" s="7" t="inlineStr">
        <is>
          <t>Costo unitario equivalente del bloque solar generado ($668.6 vs $980 EEP)</t>
        </is>
      </c>
      <c r="E13" s="20" t="inlineStr">
        <is>
          <t>Cálculo Dinámico</t>
        </is>
      </c>
    </row>
    <row r="14">
      <c r="A14" s="9" t="inlineStr">
        <is>
          <t>Inflación Proyectada (IPC)</t>
        </is>
      </c>
      <c r="B14" s="16" t="n">
        <v>0.05</v>
      </c>
      <c r="C14" s="11" t="inlineStr">
        <is>
          <t>% anual</t>
        </is>
      </c>
      <c r="D14" s="12" t="inlineStr">
        <is>
          <t>Tasa de indexación anual de tarifas y contratos</t>
        </is>
      </c>
      <c r="E14" s="13" t="inlineStr">
        <is>
          <t>https://www.banrep.gov.co/</t>
        </is>
      </c>
    </row>
    <row r="15">
      <c r="A15" s="4" t="inlineStr">
        <is>
          <t>Tasa Crédito Verde (Findeter/Banca)</t>
        </is>
      </c>
      <c r="B15" s="5" t="n">
        <v>0.142</v>
      </c>
      <c r="C15" s="6" t="inlineStr">
        <is>
          <t>E.A.</t>
        </is>
      </c>
      <c r="D15" s="7" t="inlineStr">
        <is>
          <t>Tasa compensada FNCER: IBR + 3.2% E.A. a 7 años</t>
        </is>
      </c>
      <c r="E15" s="8" t="inlineStr">
        <is>
          <t>https://www.findeter.gov.co/</t>
        </is>
      </c>
    </row>
    <row r="16">
      <c r="A16" s="9" t="inlineStr">
        <is>
          <t>Tasa Periódica Mensual Deuda</t>
        </is>
      </c>
      <c r="B16" s="16">
        <f>(1+B15)^(1/12)-1</f>
        <v/>
      </c>
      <c r="C16" s="11" t="inlineStr">
        <is>
          <t>E.M.</t>
        </is>
      </c>
      <c r="D16" s="12" t="inlineStr">
        <is>
          <t>Conversión matemática de tasa efectiva anual a mensual</t>
        </is>
      </c>
      <c r="E16" s="17" t="inlineStr">
        <is>
          <t>Cálculo Dinámico</t>
        </is>
      </c>
    </row>
    <row r="17">
      <c r="A17" s="4" t="inlineStr">
        <is>
          <t>Plazo de Financiamiento Deuda</t>
        </is>
      </c>
      <c r="B17" s="5" t="n">
        <v>84</v>
      </c>
      <c r="C17" s="6" t="inlineStr">
        <is>
          <t>meses</t>
        </is>
      </c>
      <c r="D17" s="7" t="inlineStr">
        <is>
          <t>7 años de crédito con amortización mensual fija</t>
        </is>
      </c>
      <c r="E17" s="20" t="inlineStr">
        <is>
          <t>Línea Redescuento Verde</t>
        </is>
      </c>
    </row>
    <row r="18">
      <c r="A18" s="9" t="inlineStr">
        <is>
          <t>Plazo Contrato y Transferencia de Activo</t>
        </is>
      </c>
      <c r="B18" s="16" t="n">
        <v>96</v>
      </c>
      <c r="C18" s="11" t="inlineStr">
        <is>
          <t>meses</t>
        </is>
      </c>
      <c r="D18" s="12" t="inlineStr">
        <is>
          <t>8 años de suscripción; transferencia 100% libre al cliente en mes 84-96</t>
        </is>
      </c>
      <c r="E18" s="17" t="inlineStr">
        <is>
          <t>Compromiso Contractual SaaS</t>
        </is>
      </c>
    </row>
    <row r="19">
      <c r="A19" s="4" t="inlineStr">
        <is>
          <t>Exclusión de IVA (Ley 1715 Art. 12)</t>
        </is>
      </c>
      <c r="B19" s="14" t="n">
        <v>0</v>
      </c>
      <c r="C19" s="6" t="inlineStr">
        <is>
          <t>%</t>
        </is>
      </c>
      <c r="D19" s="7" t="inlineStr">
        <is>
          <t>Bienes y equipos exentos del 19% de IVA certificados UPME</t>
        </is>
      </c>
      <c r="E19" s="8" t="inlineStr">
        <is>
          <t>http://www.secretariasenado.gov.co/senado/basedoc/ley_1715_2014.html</t>
        </is>
      </c>
    </row>
    <row r="20">
      <c r="A20" s="9" t="inlineStr">
        <is>
          <t>Arancel de Importación (Art. 13)</t>
        </is>
      </c>
      <c r="B20" s="21" t="n">
        <v>0</v>
      </c>
      <c r="C20" s="11" t="inlineStr">
        <is>
          <t>%</t>
        </is>
      </c>
      <c r="D20" s="12" t="inlineStr">
        <is>
          <t>Exención total de aranceles para tecnología FNCER</t>
        </is>
      </c>
      <c r="E20" s="13" t="inlineStr">
        <is>
          <t>http://www.secretariasenado.gov.co/senado/basedoc/ley_2099_2021.html</t>
        </is>
      </c>
    </row>
    <row r="21">
      <c r="A21" s="4" t="inlineStr">
        <is>
          <t>Deducción de Renta (Art. 11)</t>
        </is>
      </c>
      <c r="B21" s="14" t="n">
        <v>0.5</v>
      </c>
      <c r="C21" s="6" t="inlineStr">
        <is>
          <t>%</t>
        </is>
      </c>
      <c r="D21" s="7" t="inlineStr">
        <is>
          <t>Deducción del 50% de la inversión en el impuesto de renta</t>
        </is>
      </c>
      <c r="E21" s="8" t="inlineStr">
        <is>
          <t>http://www.secretariasenado.gov.co/senado/basedoc/ley_1715_2014.html</t>
        </is>
      </c>
    </row>
    <row r="22">
      <c r="A22" s="9" t="inlineStr">
        <is>
          <t>Depreciación Acelerada (Art. 14)</t>
        </is>
      </c>
      <c r="B22" s="16" t="n">
        <v>0.3333</v>
      </c>
      <c r="C22" s="11" t="inlineStr">
        <is>
          <t>% anual</t>
        </is>
      </c>
      <c r="D22" s="12" t="inlineStr">
        <is>
          <t>Amortización fiscal completa del activo en 3 años</t>
        </is>
      </c>
      <c r="E22" s="13" t="inlineStr">
        <is>
          <t>http://www.secretariasenado.gov.co/senado/basedoc/ley_1715_2014.html</t>
        </is>
      </c>
    </row>
    <row r="23">
      <c r="A23" s="4" t="inlineStr">
        <is>
          <t>Compensación Excedentes CREG 174</t>
        </is>
      </c>
      <c r="B23" s="5" t="inlineStr">
        <is>
          <t>1 a 1</t>
        </is>
      </c>
      <c r="C23" s="6" t="inlineStr">
        <is>
          <t>kWh</t>
        </is>
      </c>
      <c r="D23" s="7" t="inlineStr">
        <is>
          <t>Crédito Tipo 1 para autoconsumo mensual en red EEP</t>
        </is>
      </c>
      <c r="E23" s="8" t="inlineStr">
        <is>
          <t>https://gestornormativo.creg.gov.co/gestor/entorno/docs/resolucion_creg_0174_2021.htm</t>
        </is>
      </c>
    </row>
    <row r="24">
      <c r="A24" s="9" t="inlineStr">
        <is>
          <t>Registro de Garantías (Ley 1676)</t>
        </is>
      </c>
      <c r="B24" s="16" t="inlineStr">
        <is>
          <t>RUG</t>
        </is>
      </c>
      <c r="C24" s="11" t="inlineStr">
        <is>
          <t>Jurídico</t>
        </is>
      </c>
      <c r="D24" s="12" t="inlineStr">
        <is>
          <t>Inscripción prendaria digital para aprehensión rápida</t>
        </is>
      </c>
      <c r="E24" s="13" t="inlineStr">
        <is>
          <t>https://www.garantiasmobiliarias.com.co/</t>
        </is>
      </c>
    </row>
  </sheetData>
  <mergeCells count="2">
    <mergeCell ref="A2:E2"/>
    <mergeCell ref="A1:E1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1" r:id="rId6"/>
    <hyperlink xmlns:r="http://schemas.openxmlformats.org/officeDocument/2006/relationships" ref="E14" r:id="rId7"/>
    <hyperlink xmlns:r="http://schemas.openxmlformats.org/officeDocument/2006/relationships" ref="E15" r:id="rId8"/>
    <hyperlink xmlns:r="http://schemas.openxmlformats.org/officeDocument/2006/relationships" ref="E19" r:id="rId9"/>
    <hyperlink xmlns:r="http://schemas.openxmlformats.org/officeDocument/2006/relationships" ref="E20" r:id="rId10"/>
    <hyperlink xmlns:r="http://schemas.openxmlformats.org/officeDocument/2006/relationships" ref="E21" r:id="rId11"/>
    <hyperlink xmlns:r="http://schemas.openxmlformats.org/officeDocument/2006/relationships" ref="E22" r:id="rId12"/>
    <hyperlink xmlns:r="http://schemas.openxmlformats.org/officeDocument/2006/relationships" ref="E23" r:id="rId13"/>
    <hyperlink xmlns:r="http://schemas.openxmlformats.org/officeDocument/2006/relationships" ref="E24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237" customWidth="1" min="1" max="1"/>
    <col width="12" customWidth="1" min="2" max="2"/>
    <col width="14" customWidth="1" min="3" max="3"/>
    <col width="23" customWidth="1" min="4" max="4"/>
    <col width="20" customWidth="1" min="5" max="5"/>
    <col width="72" customWidth="1" min="6" max="6"/>
  </cols>
  <sheetData>
    <row r="1">
      <c r="A1" s="1" t="inlineStr">
        <is>
          <t>PRESUPUESTO DETALLADO DE INVERSIÓN INICIAL (CAPEX) - SISTEMA 15 kWp</t>
        </is>
      </c>
    </row>
    <row r="2">
      <c r="A2" s="2" t="inlineStr">
        <is>
          <t>Desglose Llave en Mano Instalado en Pereira con Exenciones de Ley 1715 y Evaluación de Baterías</t>
        </is>
      </c>
    </row>
    <row r="3"/>
    <row r="4">
      <c r="A4" s="3" t="inlineStr">
        <is>
          <t>Ítem / Componente</t>
        </is>
      </c>
      <c r="B4" s="3" t="inlineStr">
        <is>
          <t>Cantidad</t>
        </is>
      </c>
      <c r="C4" s="3" t="inlineStr">
        <is>
          <t>Unidad</t>
        </is>
      </c>
      <c r="D4" s="3" t="inlineStr">
        <is>
          <t>Costo Unitario (COP)</t>
        </is>
      </c>
      <c r="E4" s="3" t="inlineStr">
        <is>
          <t>Subtotal (COP)</t>
        </is>
      </c>
      <c r="F4" s="3" t="inlineStr">
        <is>
          <t>Fundamento / Enlace Proveedor</t>
        </is>
      </c>
    </row>
    <row r="5">
      <c r="A5" s="4" t="inlineStr">
        <is>
          <t>Módulos Fotovoltaicos N-Type TOPCon 550Wp Tier 1</t>
        </is>
      </c>
      <c r="B5" s="6" t="n">
        <v>28</v>
      </c>
      <c r="C5" s="6" t="inlineStr">
        <is>
          <t>unidades</t>
        </is>
      </c>
      <c r="D5" s="18" t="n">
        <v>520000</v>
      </c>
      <c r="E5" s="22">
        <f>B5*D5</f>
        <v/>
      </c>
      <c r="F5" s="7" t="inlineStr">
        <is>
          <t>https://meicosolar.com/paneles-550w-topcon</t>
        </is>
      </c>
    </row>
    <row r="6">
      <c r="A6" s="9" t="inlineStr">
        <is>
          <t>Inversor Trifásico 15 kW Multi-MPPT con Módem 4G</t>
        </is>
      </c>
      <c r="B6" s="11" t="n">
        <v>1</v>
      </c>
      <c r="C6" s="11" t="inlineStr">
        <is>
          <t>unidad</t>
        </is>
      </c>
      <c r="D6" s="19" t="n">
        <v>11200000</v>
      </c>
      <c r="E6" s="23">
        <f>B6*D6</f>
        <v/>
      </c>
      <c r="F6" s="12" t="inlineStr">
        <is>
          <t>https://celsasolar.com/inversores-on-grid</t>
        </is>
      </c>
    </row>
    <row r="7">
      <c r="A7" s="4" t="inlineStr">
        <is>
          <t>Estructura de Montaje Aluminio Anodizado para Cubierta</t>
        </is>
      </c>
      <c r="B7" s="6" t="n">
        <v>28</v>
      </c>
      <c r="C7" s="6" t="inlineStr">
        <is>
          <t>módulos</t>
        </is>
      </c>
      <c r="D7" s="18" t="n">
        <v>115000</v>
      </c>
      <c r="E7" s="22">
        <f>B7*D7</f>
        <v/>
      </c>
      <c r="F7" s="7" t="inlineStr">
        <is>
          <t>Perfilería coplanar con pinzas y tornillería inox</t>
        </is>
      </c>
    </row>
    <row r="8">
      <c r="A8" s="9" t="inlineStr">
        <is>
          <t>Cable Solar Fotovoltaico XLPO 6mm² (Rojo y Negro)</t>
        </is>
      </c>
      <c r="B8" s="11" t="n">
        <v>350</v>
      </c>
      <c r="C8" s="11" t="inlineStr">
        <is>
          <t>metros</t>
        </is>
      </c>
      <c r="D8" s="19" t="n">
        <v>5800</v>
      </c>
      <c r="E8" s="23">
        <f>B8*D8</f>
        <v/>
      </c>
      <c r="F8" s="12" t="inlineStr">
        <is>
          <t>Cable certificado RETIE resistente a UV e intemperie</t>
        </is>
      </c>
    </row>
    <row r="9">
      <c r="A9" s="4" t="inlineStr">
        <is>
          <t>Tablero Protecciones DC/AC (Fusibles, DPS Tipo II, Breakers)</t>
        </is>
      </c>
      <c r="B9" s="6" t="n">
        <v>1</v>
      </c>
      <c r="C9" s="6" t="inlineStr">
        <is>
          <t>global</t>
        </is>
      </c>
      <c r="D9" s="18" t="n">
        <v>3450000</v>
      </c>
      <c r="E9" s="22">
        <f>B9*D9</f>
        <v/>
      </c>
      <c r="F9" s="7" t="inlineStr">
        <is>
          <t>Cofre con grado de protección IP65 con seccionamiento</t>
        </is>
      </c>
    </row>
    <row r="10">
      <c r="A10" s="9" t="inlineStr">
        <is>
          <t>Sistema Puesta a Tierra y Barrajes Equipotenciales</t>
        </is>
      </c>
      <c r="B10" s="11" t="n">
        <v>1</v>
      </c>
      <c r="C10" s="11" t="inlineStr">
        <is>
          <t>global</t>
        </is>
      </c>
      <c r="D10" s="19" t="n">
        <v>1650000</v>
      </c>
      <c r="E10" s="23">
        <f>B10*D10</f>
        <v/>
      </c>
      <c r="F10" s="12" t="inlineStr">
        <is>
          <t>Varillas copperweld, cable desnudo y soldadura exotérmica</t>
        </is>
      </c>
    </row>
    <row r="11">
      <c r="A11" s="4" t="inlineStr">
        <is>
          <t>Medidor Bidireccional Homologado EEP con Protocolo</t>
        </is>
      </c>
      <c r="B11" s="6" t="n">
        <v>1</v>
      </c>
      <c r="C11" s="6" t="inlineStr">
        <is>
          <t>unidad</t>
        </is>
      </c>
      <c r="D11" s="18" t="n">
        <v>1850000</v>
      </c>
      <c r="E11" s="22">
        <f>B11*D11</f>
        <v/>
      </c>
      <c r="F11" s="7" t="inlineStr">
        <is>
          <t>Medidor electrónico 4 cuadrantes con calibración ONAC</t>
        </is>
      </c>
    </row>
    <row r="12">
      <c r="A12" s="9" t="inlineStr">
        <is>
          <t>Mano de Obra Certificada en Alturas e Instalación Eléctrica</t>
        </is>
      </c>
      <c r="B12" s="11" t="n">
        <v>1</v>
      </c>
      <c r="C12" s="11" t="inlineStr">
        <is>
          <t>global</t>
        </is>
      </c>
      <c r="D12" s="19" t="n">
        <v>6200000</v>
      </c>
      <c r="E12" s="23">
        <f>B12*D12</f>
        <v/>
      </c>
      <c r="F12" s="12" t="inlineStr">
        <is>
          <t>Cuadrilla técnica con certificación CONALTEL / RETIE</t>
        </is>
      </c>
    </row>
    <row r="13">
      <c r="A13" s="4" t="inlineStr">
        <is>
          <t>Ingeniería de Detalle, Trámite AGPE ante EEP y Planos As-Built</t>
        </is>
      </c>
      <c r="B13" s="6" t="n">
        <v>1</v>
      </c>
      <c r="C13" s="6" t="inlineStr">
        <is>
          <t>global</t>
        </is>
      </c>
      <c r="D13" s="18" t="n">
        <v>3800000</v>
      </c>
      <c r="E13" s="22">
        <f>B13*D13</f>
        <v/>
      </c>
      <c r="F13" s="7" t="inlineStr">
        <is>
          <t>Gestión completa de conexión simplificada CREG 174</t>
        </is>
      </c>
    </row>
    <row r="14">
      <c r="A14" s="9" t="inlineStr">
        <is>
          <t>Dictamen de Inspección RETIE con Organismo Acreditado ONAC</t>
        </is>
      </c>
      <c r="B14" s="11" t="n">
        <v>1</v>
      </c>
      <c r="C14" s="11" t="inlineStr">
        <is>
          <t>servicio</t>
        </is>
      </c>
      <c r="D14" s="19" t="n">
        <v>3100000</v>
      </c>
      <c r="E14" s="23">
        <f>B14*D14</f>
        <v/>
      </c>
      <c r="F14" s="12" t="inlineStr">
        <is>
          <t>Certificado de conformidad de instalación eléctrica</t>
        </is>
      </c>
    </row>
    <row r="15">
      <c r="A15" s="4" t="inlineStr">
        <is>
          <t>Inscripción Garantías Mobiliarias RUG (Ley 1676 Confecámaras)</t>
        </is>
      </c>
      <c r="B15" s="6" t="n">
        <v>1</v>
      </c>
      <c r="C15" s="6" t="inlineStr">
        <is>
          <t>trámite</t>
        </is>
      </c>
      <c r="D15" s="18" t="n">
        <v>75000</v>
      </c>
      <c r="E15" s="22">
        <f>B15*D15</f>
        <v/>
      </c>
      <c r="F15" s="7" t="inlineStr">
        <is>
          <t>https://www.garantiasmobiliarias.com.co/</t>
        </is>
      </c>
    </row>
    <row r="16">
      <c r="A16" s="24" t="inlineStr">
        <is>
          <t>TOTAL CAPEX SISTEMA ON-GRID (15 kWp)</t>
        </is>
      </c>
      <c r="E16" s="25">
        <f>SUM(E5:E15)</f>
        <v/>
      </c>
      <c r="F16" s="2" t="inlineStr">
        <is>
          <t>Inversión Turnkey con 0% IVA y 0% Arancel (Ley 1715)</t>
        </is>
      </c>
    </row>
    <row r="17"/>
    <row r="18">
      <c r="A18" s="24" t="inlineStr">
        <is>
          <t>Ahorro Directo IVA 19% (Ley 1715 Art. 12):</t>
        </is>
      </c>
      <c r="E18" s="26">
        <f>E16*0.19</f>
        <v/>
      </c>
    </row>
    <row r="19">
      <c r="A19" s="24" t="inlineStr">
        <is>
          <t>Deducción Especial de Renta 50% (Ley 1715 Art. 11):</t>
        </is>
      </c>
      <c r="E19" s="26">
        <f>E16*0.50</f>
        <v/>
      </c>
    </row>
    <row r="20"/>
    <row r="21">
      <c r="A21" s="27" t="inlineStr">
        <is>
          <t>EVALUACIÓN DE IMPACTO DE BATERÍAS (SISTEMA HÍBRIDO / OFF-GRID)</t>
        </is>
      </c>
    </row>
    <row r="22"/>
    <row r="23">
      <c r="A23" s="7" t="inlineStr">
        <is>
          <t>Banco Baterías Litio LiFePO4 15 kWh (48V / 300Ah)</t>
        </is>
      </c>
      <c r="B23" s="6" t="n">
        <v>1</v>
      </c>
      <c r="C23" s="6" t="inlineStr">
        <is>
          <t>banco</t>
        </is>
      </c>
      <c r="D23" s="28" t="n">
        <v>28500000</v>
      </c>
      <c r="E23" s="28">
        <f>B23*D23</f>
        <v/>
      </c>
      <c r="F23" s="29" t="inlineStr">
        <is>
          <t>https://meicosolar.com/baterias-litio-lifepo4</t>
        </is>
      </c>
    </row>
    <row r="24">
      <c r="A24" s="7" t="inlineStr">
        <is>
          <t>Inversor Híbrido Bidireccional con Cargador Integrado</t>
        </is>
      </c>
      <c r="B24" s="6" t="n">
        <v>1</v>
      </c>
      <c r="C24" s="6" t="inlineStr">
        <is>
          <t>diferencial</t>
        </is>
      </c>
      <c r="D24" s="28" t="n">
        <v>6800000</v>
      </c>
      <c r="E24" s="28">
        <f>B24*D24</f>
        <v/>
      </c>
      <c r="F24" s="29" t="inlineStr">
        <is>
          <t>Sobrecosto frente a inversor on-grid convencional</t>
        </is>
      </c>
    </row>
    <row r="25">
      <c r="A25" s="7" t="inlineStr">
        <is>
          <t>Tablero de Transferencia Automática (ATS) y Protecciones DC</t>
        </is>
      </c>
      <c r="B25" s="6" t="n">
        <v>1</v>
      </c>
      <c r="C25" s="6" t="inlineStr">
        <is>
          <t>global</t>
        </is>
      </c>
      <c r="D25" s="28" t="n">
        <v>2400000</v>
      </c>
      <c r="E25" s="28">
        <f>B25*D25</f>
        <v/>
      </c>
      <c r="F25" s="29" t="inlineStr">
        <is>
          <t>Seccionamiento de cargas críticas</t>
        </is>
      </c>
    </row>
    <row r="26">
      <c r="A26" s="24" t="inlineStr">
        <is>
          <t>CAPEX TOTAL CON BATERÍAS (SISTEMA HÍBRIDO):</t>
        </is>
      </c>
      <c r="E26" s="30">
        <f>E16+SUM(E23:E25)</f>
        <v/>
      </c>
      <c r="F26" s="31" t="inlineStr">
        <is>
          <t>Incremento del +73.4% en CAPEX (Inviable comercialmente sin subsidio)</t>
        </is>
      </c>
    </row>
    <row r="27"/>
    <row r="28">
      <c r="A28" s="24" t="inlineStr">
        <is>
          <t>CONCLUSIÓN TÉCNICO-FINANCIERA SOBRE BATERÍAS:</t>
        </is>
      </c>
    </row>
    <row r="29">
      <c r="A29" s="2" t="inlineStr">
        <is>
          <t>La Resolución CREG 174 de 2021 permite usar la red de EEP como 'batería virtual' mediante los Excedentes Tipo 1 (compensación 1:1 en kWh) a costo cero. Incorporar baterías físicas hoy destruye la rentabilidad del cliente y la empresa.</t>
        </is>
      </c>
    </row>
  </sheetData>
  <mergeCells count="4">
    <mergeCell ref="A2:F2"/>
    <mergeCell ref="A21:F21"/>
    <mergeCell ref="A1:F1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2"/>
  <sheetViews>
    <sheetView showGridLines="1" workbookViewId="0">
      <selection activeCell="A1" sqref="A1"/>
    </sheetView>
  </sheetViews>
  <sheetFormatPr baseColWidth="8" defaultRowHeight="15"/>
  <cols>
    <col width="82" customWidth="1" min="1" max="1"/>
    <col width="39" customWidth="1" min="2" max="2"/>
    <col width="22" customWidth="1" min="3" max="3"/>
    <col width="34" customWidth="1" min="4" max="4"/>
    <col width="33" customWidth="1" min="5" max="5"/>
    <col width="20" customWidth="1" min="6" max="6"/>
  </cols>
  <sheetData>
    <row r="1">
      <c r="A1" s="1" t="inlineStr">
        <is>
          <t>ESTRUCTURA DE CAPITAL Y TABLA DE AMORTIZACIÓN BANCARIA (FINDETER / BANCOLOMBIA)</t>
        </is>
      </c>
    </row>
    <row r="2"/>
    <row r="3">
      <c r="A3" s="24" t="inlineStr">
        <is>
          <t>Monto Total CAPEX:</t>
        </is>
      </c>
      <c r="B3" s="26">
        <f>'2. Presupuesto_CAPEX_Unitario'!E16</f>
        <v/>
      </c>
      <c r="D3" s="24" t="inlineStr">
        <is>
          <t>Tasa Efectiva Anual (E.A.):</t>
        </is>
      </c>
      <c r="E3" s="32">
        <f>'1. Parametros_y_Fuentes'!B15</f>
        <v/>
      </c>
    </row>
    <row r="4">
      <c r="A4" s="24" t="inlineStr">
        <is>
          <t>Participación Deuda (Línea Verde):</t>
        </is>
      </c>
      <c r="B4" s="33" t="n">
        <v>0.7</v>
      </c>
      <c r="D4" s="24" t="inlineStr">
        <is>
          <t>Tasa Periódica Mensual (E.M.):</t>
        </is>
      </c>
      <c r="E4" s="34">
        <f>(1+E3)^(1/12)-1</f>
        <v/>
      </c>
    </row>
    <row r="5">
      <c r="A5" s="24" t="inlineStr">
        <is>
          <t>Monto a Financiar (70%):</t>
        </is>
      </c>
      <c r="B5" s="25">
        <f>B3*B4</f>
        <v/>
      </c>
      <c r="D5" s="24" t="inlineStr">
        <is>
          <t>Plazo de Pago (Meses):</t>
        </is>
      </c>
      <c r="E5" t="n">
        <v>84</v>
      </c>
    </row>
    <row r="6">
      <c r="A6" s="24" t="inlineStr">
        <is>
          <t>Capital Propio Requerido (Equity 30%):</t>
        </is>
      </c>
      <c r="B6" s="26">
        <f>B3*(1-B4)</f>
        <v/>
      </c>
      <c r="D6" s="35" t="inlineStr">
        <is>
          <t>CUOTA MENSUAL FIJA DE LA DEUDA:</t>
        </is>
      </c>
      <c r="E6" s="36">
        <f>PMT(E4,E5,-B5)</f>
        <v/>
      </c>
    </row>
    <row r="7"/>
    <row r="8">
      <c r="A8" s="3" t="inlineStr">
        <is>
          <t>Mes</t>
        </is>
      </c>
      <c r="B8" s="3" t="inlineStr">
        <is>
          <t>Saldo Inicial (COP)</t>
        </is>
      </c>
      <c r="C8" s="3" t="inlineStr">
        <is>
          <t>Cuota Mensual (COP)</t>
        </is>
      </c>
      <c r="D8" s="3" t="inlineStr">
        <is>
          <t>Intereses (COP)</t>
        </is>
      </c>
      <c r="E8" s="3" t="inlineStr">
        <is>
          <t>Abono a Capital (COP)</t>
        </is>
      </c>
      <c r="F8" s="3" t="inlineStr">
        <is>
          <t>Saldo Final (COP)</t>
        </is>
      </c>
    </row>
    <row r="9">
      <c r="A9" s="6" t="n">
        <v>1</v>
      </c>
      <c r="B9" s="28">
        <f>$B$5</f>
        <v/>
      </c>
      <c r="C9" s="28">
        <f>$E$6</f>
        <v/>
      </c>
      <c r="D9" s="28">
        <f>B9*$E$4</f>
        <v/>
      </c>
      <c r="E9" s="28">
        <f>C9-D9</f>
        <v/>
      </c>
      <c r="F9" s="28">
        <f>B9-E9</f>
        <v/>
      </c>
    </row>
    <row r="10">
      <c r="A10" s="11" t="n">
        <v>2</v>
      </c>
      <c r="B10" s="37">
        <f>F9</f>
        <v/>
      </c>
      <c r="C10" s="37">
        <f>$E$6</f>
        <v/>
      </c>
      <c r="D10" s="37">
        <f>B10*$E$4</f>
        <v/>
      </c>
      <c r="E10" s="37">
        <f>C10-D10</f>
        <v/>
      </c>
      <c r="F10" s="37">
        <f>B10-E10</f>
        <v/>
      </c>
    </row>
    <row r="11">
      <c r="A11" s="6" t="n">
        <v>3</v>
      </c>
      <c r="B11" s="28">
        <f>F10</f>
        <v/>
      </c>
      <c r="C11" s="28">
        <f>$E$6</f>
        <v/>
      </c>
      <c r="D11" s="28">
        <f>B11*$E$4</f>
        <v/>
      </c>
      <c r="E11" s="28">
        <f>C11-D11</f>
        <v/>
      </c>
      <c r="F11" s="28">
        <f>B11-E11</f>
        <v/>
      </c>
    </row>
    <row r="12">
      <c r="A12" s="11" t="n">
        <v>4</v>
      </c>
      <c r="B12" s="37">
        <f>F11</f>
        <v/>
      </c>
      <c r="C12" s="37">
        <f>$E$6</f>
        <v/>
      </c>
      <c r="D12" s="37">
        <f>B12*$E$4</f>
        <v/>
      </c>
      <c r="E12" s="37">
        <f>C12-D12</f>
        <v/>
      </c>
      <c r="F12" s="37">
        <f>B12-E12</f>
        <v/>
      </c>
    </row>
    <row r="13">
      <c r="A13" s="6" t="n">
        <v>5</v>
      </c>
      <c r="B13" s="28">
        <f>F12</f>
        <v/>
      </c>
      <c r="C13" s="28">
        <f>$E$6</f>
        <v/>
      </c>
      <c r="D13" s="28">
        <f>B13*$E$4</f>
        <v/>
      </c>
      <c r="E13" s="28">
        <f>C13-D13</f>
        <v/>
      </c>
      <c r="F13" s="28">
        <f>B13-E13</f>
        <v/>
      </c>
    </row>
    <row r="14">
      <c r="A14" s="11" t="n">
        <v>6</v>
      </c>
      <c r="B14" s="37">
        <f>F13</f>
        <v/>
      </c>
      <c r="C14" s="37">
        <f>$E$6</f>
        <v/>
      </c>
      <c r="D14" s="37">
        <f>B14*$E$4</f>
        <v/>
      </c>
      <c r="E14" s="37">
        <f>C14-D14</f>
        <v/>
      </c>
      <c r="F14" s="37">
        <f>B14-E14</f>
        <v/>
      </c>
    </row>
    <row r="15">
      <c r="A15" s="6" t="n">
        <v>7</v>
      </c>
      <c r="B15" s="28">
        <f>F14</f>
        <v/>
      </c>
      <c r="C15" s="28">
        <f>$E$6</f>
        <v/>
      </c>
      <c r="D15" s="28">
        <f>B15*$E$4</f>
        <v/>
      </c>
      <c r="E15" s="28">
        <f>C15-D15</f>
        <v/>
      </c>
      <c r="F15" s="28">
        <f>B15-E15</f>
        <v/>
      </c>
    </row>
    <row r="16">
      <c r="A16" s="11" t="n">
        <v>8</v>
      </c>
      <c r="B16" s="37">
        <f>F15</f>
        <v/>
      </c>
      <c r="C16" s="37">
        <f>$E$6</f>
        <v/>
      </c>
      <c r="D16" s="37">
        <f>B16*$E$4</f>
        <v/>
      </c>
      <c r="E16" s="37">
        <f>C16-D16</f>
        <v/>
      </c>
      <c r="F16" s="37">
        <f>B16-E16</f>
        <v/>
      </c>
    </row>
    <row r="17">
      <c r="A17" s="6" t="n">
        <v>9</v>
      </c>
      <c r="B17" s="28">
        <f>F16</f>
        <v/>
      </c>
      <c r="C17" s="28">
        <f>$E$6</f>
        <v/>
      </c>
      <c r="D17" s="28">
        <f>B17*$E$4</f>
        <v/>
      </c>
      <c r="E17" s="28">
        <f>C17-D17</f>
        <v/>
      </c>
      <c r="F17" s="28">
        <f>B17-E17</f>
        <v/>
      </c>
    </row>
    <row r="18">
      <c r="A18" s="11" t="n">
        <v>10</v>
      </c>
      <c r="B18" s="37">
        <f>F17</f>
        <v/>
      </c>
      <c r="C18" s="37">
        <f>$E$6</f>
        <v/>
      </c>
      <c r="D18" s="37">
        <f>B18*$E$4</f>
        <v/>
      </c>
      <c r="E18" s="37">
        <f>C18-D18</f>
        <v/>
      </c>
      <c r="F18" s="37">
        <f>B18-E18</f>
        <v/>
      </c>
    </row>
    <row r="19">
      <c r="A19" s="6" t="n">
        <v>11</v>
      </c>
      <c r="B19" s="28">
        <f>F18</f>
        <v/>
      </c>
      <c r="C19" s="28">
        <f>$E$6</f>
        <v/>
      </c>
      <c r="D19" s="28">
        <f>B19*$E$4</f>
        <v/>
      </c>
      <c r="E19" s="28">
        <f>C19-D19</f>
        <v/>
      </c>
      <c r="F19" s="28">
        <f>B19-E19</f>
        <v/>
      </c>
    </row>
    <row r="20">
      <c r="A20" s="11" t="n">
        <v>12</v>
      </c>
      <c r="B20" s="37">
        <f>F19</f>
        <v/>
      </c>
      <c r="C20" s="37">
        <f>$E$6</f>
        <v/>
      </c>
      <c r="D20" s="37">
        <f>B20*$E$4</f>
        <v/>
      </c>
      <c r="E20" s="37">
        <f>C20-D20</f>
        <v/>
      </c>
      <c r="F20" s="37">
        <f>B20-E20</f>
        <v/>
      </c>
    </row>
    <row r="21">
      <c r="A21" s="6" t="n">
        <v>13</v>
      </c>
      <c r="B21" s="28">
        <f>F20</f>
        <v/>
      </c>
      <c r="C21" s="28">
        <f>$E$6</f>
        <v/>
      </c>
      <c r="D21" s="28">
        <f>B21*$E$4</f>
        <v/>
      </c>
      <c r="E21" s="28">
        <f>C21-D21</f>
        <v/>
      </c>
      <c r="F21" s="28">
        <f>B21-E21</f>
        <v/>
      </c>
    </row>
    <row r="22">
      <c r="A22" s="11" t="n">
        <v>14</v>
      </c>
      <c r="B22" s="37">
        <f>F21</f>
        <v/>
      </c>
      <c r="C22" s="37">
        <f>$E$6</f>
        <v/>
      </c>
      <c r="D22" s="37">
        <f>B22*$E$4</f>
        <v/>
      </c>
      <c r="E22" s="37">
        <f>C22-D22</f>
        <v/>
      </c>
      <c r="F22" s="37">
        <f>B22-E22</f>
        <v/>
      </c>
    </row>
    <row r="23">
      <c r="A23" s="6" t="n">
        <v>15</v>
      </c>
      <c r="B23" s="28">
        <f>F22</f>
        <v/>
      </c>
      <c r="C23" s="28">
        <f>$E$6</f>
        <v/>
      </c>
      <c r="D23" s="28">
        <f>B23*$E$4</f>
        <v/>
      </c>
      <c r="E23" s="28">
        <f>C23-D23</f>
        <v/>
      </c>
      <c r="F23" s="28">
        <f>B23-E23</f>
        <v/>
      </c>
    </row>
    <row r="24">
      <c r="A24" s="11" t="n">
        <v>16</v>
      </c>
      <c r="B24" s="37">
        <f>F23</f>
        <v/>
      </c>
      <c r="C24" s="37">
        <f>$E$6</f>
        <v/>
      </c>
      <c r="D24" s="37">
        <f>B24*$E$4</f>
        <v/>
      </c>
      <c r="E24" s="37">
        <f>C24-D24</f>
        <v/>
      </c>
      <c r="F24" s="37">
        <f>B24-E24</f>
        <v/>
      </c>
    </row>
    <row r="25">
      <c r="A25" s="6" t="n">
        <v>17</v>
      </c>
      <c r="B25" s="28">
        <f>F24</f>
        <v/>
      </c>
      <c r="C25" s="28">
        <f>$E$6</f>
        <v/>
      </c>
      <c r="D25" s="28">
        <f>B25*$E$4</f>
        <v/>
      </c>
      <c r="E25" s="28">
        <f>C25-D25</f>
        <v/>
      </c>
      <c r="F25" s="28">
        <f>B25-E25</f>
        <v/>
      </c>
    </row>
    <row r="26">
      <c r="A26" s="11" t="n">
        <v>18</v>
      </c>
      <c r="B26" s="37">
        <f>F25</f>
        <v/>
      </c>
      <c r="C26" s="37">
        <f>$E$6</f>
        <v/>
      </c>
      <c r="D26" s="37">
        <f>B26*$E$4</f>
        <v/>
      </c>
      <c r="E26" s="37">
        <f>C26-D26</f>
        <v/>
      </c>
      <c r="F26" s="37">
        <f>B26-E26</f>
        <v/>
      </c>
    </row>
    <row r="27">
      <c r="A27" s="6" t="n">
        <v>19</v>
      </c>
      <c r="B27" s="28">
        <f>F26</f>
        <v/>
      </c>
      <c r="C27" s="28">
        <f>$E$6</f>
        <v/>
      </c>
      <c r="D27" s="28">
        <f>B27*$E$4</f>
        <v/>
      </c>
      <c r="E27" s="28">
        <f>C27-D27</f>
        <v/>
      </c>
      <c r="F27" s="28">
        <f>B27-E27</f>
        <v/>
      </c>
    </row>
    <row r="28">
      <c r="A28" s="11" t="n">
        <v>20</v>
      </c>
      <c r="B28" s="37">
        <f>F27</f>
        <v/>
      </c>
      <c r="C28" s="37">
        <f>$E$6</f>
        <v/>
      </c>
      <c r="D28" s="37">
        <f>B28*$E$4</f>
        <v/>
      </c>
      <c r="E28" s="37">
        <f>C28-D28</f>
        <v/>
      </c>
      <c r="F28" s="37">
        <f>B28-E28</f>
        <v/>
      </c>
    </row>
    <row r="29">
      <c r="A29" s="6" t="n">
        <v>21</v>
      </c>
      <c r="B29" s="28">
        <f>F28</f>
        <v/>
      </c>
      <c r="C29" s="28">
        <f>$E$6</f>
        <v/>
      </c>
      <c r="D29" s="28">
        <f>B29*$E$4</f>
        <v/>
      </c>
      <c r="E29" s="28">
        <f>C29-D29</f>
        <v/>
      </c>
      <c r="F29" s="28">
        <f>B29-E29</f>
        <v/>
      </c>
    </row>
    <row r="30">
      <c r="A30" s="11" t="n">
        <v>22</v>
      </c>
      <c r="B30" s="37">
        <f>F29</f>
        <v/>
      </c>
      <c r="C30" s="37">
        <f>$E$6</f>
        <v/>
      </c>
      <c r="D30" s="37">
        <f>B30*$E$4</f>
        <v/>
      </c>
      <c r="E30" s="37">
        <f>C30-D30</f>
        <v/>
      </c>
      <c r="F30" s="37">
        <f>B30-E30</f>
        <v/>
      </c>
    </row>
    <row r="31">
      <c r="A31" s="6" t="n">
        <v>23</v>
      </c>
      <c r="B31" s="28">
        <f>F30</f>
        <v/>
      </c>
      <c r="C31" s="28">
        <f>$E$6</f>
        <v/>
      </c>
      <c r="D31" s="28">
        <f>B31*$E$4</f>
        <v/>
      </c>
      <c r="E31" s="28">
        <f>C31-D31</f>
        <v/>
      </c>
      <c r="F31" s="28">
        <f>B31-E31</f>
        <v/>
      </c>
    </row>
    <row r="32">
      <c r="A32" s="11" t="n">
        <v>24</v>
      </c>
      <c r="B32" s="37">
        <f>F31</f>
        <v/>
      </c>
      <c r="C32" s="37">
        <f>$E$6</f>
        <v/>
      </c>
      <c r="D32" s="37">
        <f>B32*$E$4</f>
        <v/>
      </c>
      <c r="E32" s="37">
        <f>C32-D32</f>
        <v/>
      </c>
      <c r="F32" s="37">
        <f>B32-E32</f>
        <v/>
      </c>
    </row>
    <row r="33">
      <c r="A33" s="6" t="n">
        <v>25</v>
      </c>
      <c r="B33" s="28">
        <f>F32</f>
        <v/>
      </c>
      <c r="C33" s="28">
        <f>$E$6</f>
        <v/>
      </c>
      <c r="D33" s="28">
        <f>B33*$E$4</f>
        <v/>
      </c>
      <c r="E33" s="28">
        <f>C33-D33</f>
        <v/>
      </c>
      <c r="F33" s="28">
        <f>B33-E33</f>
        <v/>
      </c>
    </row>
    <row r="34">
      <c r="A34" s="11" t="n">
        <v>26</v>
      </c>
      <c r="B34" s="37">
        <f>F33</f>
        <v/>
      </c>
      <c r="C34" s="37">
        <f>$E$6</f>
        <v/>
      </c>
      <c r="D34" s="37">
        <f>B34*$E$4</f>
        <v/>
      </c>
      <c r="E34" s="37">
        <f>C34-D34</f>
        <v/>
      </c>
      <c r="F34" s="37">
        <f>B34-E34</f>
        <v/>
      </c>
    </row>
    <row r="35">
      <c r="A35" s="6" t="n">
        <v>27</v>
      </c>
      <c r="B35" s="28">
        <f>F34</f>
        <v/>
      </c>
      <c r="C35" s="28">
        <f>$E$6</f>
        <v/>
      </c>
      <c r="D35" s="28">
        <f>B35*$E$4</f>
        <v/>
      </c>
      <c r="E35" s="28">
        <f>C35-D35</f>
        <v/>
      </c>
      <c r="F35" s="28">
        <f>B35-E35</f>
        <v/>
      </c>
    </row>
    <row r="36">
      <c r="A36" s="11" t="n">
        <v>28</v>
      </c>
      <c r="B36" s="37">
        <f>F35</f>
        <v/>
      </c>
      <c r="C36" s="37">
        <f>$E$6</f>
        <v/>
      </c>
      <c r="D36" s="37">
        <f>B36*$E$4</f>
        <v/>
      </c>
      <c r="E36" s="37">
        <f>C36-D36</f>
        <v/>
      </c>
      <c r="F36" s="37">
        <f>B36-E36</f>
        <v/>
      </c>
    </row>
    <row r="37">
      <c r="A37" s="6" t="n">
        <v>29</v>
      </c>
      <c r="B37" s="28">
        <f>F36</f>
        <v/>
      </c>
      <c r="C37" s="28">
        <f>$E$6</f>
        <v/>
      </c>
      <c r="D37" s="28">
        <f>B37*$E$4</f>
        <v/>
      </c>
      <c r="E37" s="28">
        <f>C37-D37</f>
        <v/>
      </c>
      <c r="F37" s="28">
        <f>B37-E37</f>
        <v/>
      </c>
    </row>
    <row r="38">
      <c r="A38" s="11" t="n">
        <v>30</v>
      </c>
      <c r="B38" s="37">
        <f>F37</f>
        <v/>
      </c>
      <c r="C38" s="37">
        <f>$E$6</f>
        <v/>
      </c>
      <c r="D38" s="37">
        <f>B38*$E$4</f>
        <v/>
      </c>
      <c r="E38" s="37">
        <f>C38-D38</f>
        <v/>
      </c>
      <c r="F38" s="37">
        <f>B38-E38</f>
        <v/>
      </c>
    </row>
    <row r="39">
      <c r="A39" s="6" t="n">
        <v>31</v>
      </c>
      <c r="B39" s="28">
        <f>F38</f>
        <v/>
      </c>
      <c r="C39" s="28">
        <f>$E$6</f>
        <v/>
      </c>
      <c r="D39" s="28">
        <f>B39*$E$4</f>
        <v/>
      </c>
      <c r="E39" s="28">
        <f>C39-D39</f>
        <v/>
      </c>
      <c r="F39" s="28">
        <f>B39-E39</f>
        <v/>
      </c>
    </row>
    <row r="40">
      <c r="A40" s="11" t="n">
        <v>32</v>
      </c>
      <c r="B40" s="37">
        <f>F39</f>
        <v/>
      </c>
      <c r="C40" s="37">
        <f>$E$6</f>
        <v/>
      </c>
      <c r="D40" s="37">
        <f>B40*$E$4</f>
        <v/>
      </c>
      <c r="E40" s="37">
        <f>C40-D40</f>
        <v/>
      </c>
      <c r="F40" s="37">
        <f>B40-E40</f>
        <v/>
      </c>
    </row>
    <row r="41">
      <c r="A41" s="6" t="n">
        <v>33</v>
      </c>
      <c r="B41" s="28">
        <f>F40</f>
        <v/>
      </c>
      <c r="C41" s="28">
        <f>$E$6</f>
        <v/>
      </c>
      <c r="D41" s="28">
        <f>B41*$E$4</f>
        <v/>
      </c>
      <c r="E41" s="28">
        <f>C41-D41</f>
        <v/>
      </c>
      <c r="F41" s="28">
        <f>B41-E41</f>
        <v/>
      </c>
    </row>
    <row r="42">
      <c r="A42" s="11" t="n">
        <v>34</v>
      </c>
      <c r="B42" s="37">
        <f>F41</f>
        <v/>
      </c>
      <c r="C42" s="37">
        <f>$E$6</f>
        <v/>
      </c>
      <c r="D42" s="37">
        <f>B42*$E$4</f>
        <v/>
      </c>
      <c r="E42" s="37">
        <f>C42-D42</f>
        <v/>
      </c>
      <c r="F42" s="37">
        <f>B42-E42</f>
        <v/>
      </c>
    </row>
    <row r="43">
      <c r="A43" s="6" t="n">
        <v>35</v>
      </c>
      <c r="B43" s="28">
        <f>F42</f>
        <v/>
      </c>
      <c r="C43" s="28">
        <f>$E$6</f>
        <v/>
      </c>
      <c r="D43" s="28">
        <f>B43*$E$4</f>
        <v/>
      </c>
      <c r="E43" s="28">
        <f>C43-D43</f>
        <v/>
      </c>
      <c r="F43" s="28">
        <f>B43-E43</f>
        <v/>
      </c>
    </row>
    <row r="44">
      <c r="A44" s="11" t="n">
        <v>36</v>
      </c>
      <c r="B44" s="37">
        <f>F43</f>
        <v/>
      </c>
      <c r="C44" s="37">
        <f>$E$6</f>
        <v/>
      </c>
      <c r="D44" s="37">
        <f>B44*$E$4</f>
        <v/>
      </c>
      <c r="E44" s="37">
        <f>C44-D44</f>
        <v/>
      </c>
      <c r="F44" s="37">
        <f>B44-E44</f>
        <v/>
      </c>
    </row>
    <row r="45">
      <c r="A45" s="6" t="n">
        <v>37</v>
      </c>
      <c r="B45" s="28">
        <f>F44</f>
        <v/>
      </c>
      <c r="C45" s="28">
        <f>$E$6</f>
        <v/>
      </c>
      <c r="D45" s="28">
        <f>B45*$E$4</f>
        <v/>
      </c>
      <c r="E45" s="28">
        <f>C45-D45</f>
        <v/>
      </c>
      <c r="F45" s="28">
        <f>B45-E45</f>
        <v/>
      </c>
    </row>
    <row r="46">
      <c r="A46" s="11" t="n">
        <v>38</v>
      </c>
      <c r="B46" s="37">
        <f>F45</f>
        <v/>
      </c>
      <c r="C46" s="37">
        <f>$E$6</f>
        <v/>
      </c>
      <c r="D46" s="37">
        <f>B46*$E$4</f>
        <v/>
      </c>
      <c r="E46" s="37">
        <f>C46-D46</f>
        <v/>
      </c>
      <c r="F46" s="37">
        <f>B46-E46</f>
        <v/>
      </c>
    </row>
    <row r="47">
      <c r="A47" s="6" t="n">
        <v>39</v>
      </c>
      <c r="B47" s="28">
        <f>F46</f>
        <v/>
      </c>
      <c r="C47" s="28">
        <f>$E$6</f>
        <v/>
      </c>
      <c r="D47" s="28">
        <f>B47*$E$4</f>
        <v/>
      </c>
      <c r="E47" s="28">
        <f>C47-D47</f>
        <v/>
      </c>
      <c r="F47" s="28">
        <f>B47-E47</f>
        <v/>
      </c>
    </row>
    <row r="48">
      <c r="A48" s="11" t="n">
        <v>40</v>
      </c>
      <c r="B48" s="37">
        <f>F47</f>
        <v/>
      </c>
      <c r="C48" s="37">
        <f>$E$6</f>
        <v/>
      </c>
      <c r="D48" s="37">
        <f>B48*$E$4</f>
        <v/>
      </c>
      <c r="E48" s="37">
        <f>C48-D48</f>
        <v/>
      </c>
      <c r="F48" s="37">
        <f>B48-E48</f>
        <v/>
      </c>
    </row>
    <row r="49">
      <c r="A49" s="6" t="n">
        <v>41</v>
      </c>
      <c r="B49" s="28">
        <f>F48</f>
        <v/>
      </c>
      <c r="C49" s="28">
        <f>$E$6</f>
        <v/>
      </c>
      <c r="D49" s="28">
        <f>B49*$E$4</f>
        <v/>
      </c>
      <c r="E49" s="28">
        <f>C49-D49</f>
        <v/>
      </c>
      <c r="F49" s="28">
        <f>B49-E49</f>
        <v/>
      </c>
    </row>
    <row r="50">
      <c r="A50" s="11" t="n">
        <v>42</v>
      </c>
      <c r="B50" s="37">
        <f>F49</f>
        <v/>
      </c>
      <c r="C50" s="37">
        <f>$E$6</f>
        <v/>
      </c>
      <c r="D50" s="37">
        <f>B50*$E$4</f>
        <v/>
      </c>
      <c r="E50" s="37">
        <f>C50-D50</f>
        <v/>
      </c>
      <c r="F50" s="37">
        <f>B50-E50</f>
        <v/>
      </c>
    </row>
    <row r="51">
      <c r="A51" s="6" t="n">
        <v>43</v>
      </c>
      <c r="B51" s="28">
        <f>F50</f>
        <v/>
      </c>
      <c r="C51" s="28">
        <f>$E$6</f>
        <v/>
      </c>
      <c r="D51" s="28">
        <f>B51*$E$4</f>
        <v/>
      </c>
      <c r="E51" s="28">
        <f>C51-D51</f>
        <v/>
      </c>
      <c r="F51" s="28">
        <f>B51-E51</f>
        <v/>
      </c>
    </row>
    <row r="52">
      <c r="A52" s="11" t="n">
        <v>44</v>
      </c>
      <c r="B52" s="37">
        <f>F51</f>
        <v/>
      </c>
      <c r="C52" s="37">
        <f>$E$6</f>
        <v/>
      </c>
      <c r="D52" s="37">
        <f>B52*$E$4</f>
        <v/>
      </c>
      <c r="E52" s="37">
        <f>C52-D52</f>
        <v/>
      </c>
      <c r="F52" s="37">
        <f>B52-E52</f>
        <v/>
      </c>
    </row>
    <row r="53">
      <c r="A53" s="6" t="n">
        <v>45</v>
      </c>
      <c r="B53" s="28">
        <f>F52</f>
        <v/>
      </c>
      <c r="C53" s="28">
        <f>$E$6</f>
        <v/>
      </c>
      <c r="D53" s="28">
        <f>B53*$E$4</f>
        <v/>
      </c>
      <c r="E53" s="28">
        <f>C53-D53</f>
        <v/>
      </c>
      <c r="F53" s="28">
        <f>B53-E53</f>
        <v/>
      </c>
    </row>
    <row r="54">
      <c r="A54" s="11" t="n">
        <v>46</v>
      </c>
      <c r="B54" s="37">
        <f>F53</f>
        <v/>
      </c>
      <c r="C54" s="37">
        <f>$E$6</f>
        <v/>
      </c>
      <c r="D54" s="37">
        <f>B54*$E$4</f>
        <v/>
      </c>
      <c r="E54" s="37">
        <f>C54-D54</f>
        <v/>
      </c>
      <c r="F54" s="37">
        <f>B54-E54</f>
        <v/>
      </c>
    </row>
    <row r="55">
      <c r="A55" s="6" t="n">
        <v>47</v>
      </c>
      <c r="B55" s="28">
        <f>F54</f>
        <v/>
      </c>
      <c r="C55" s="28">
        <f>$E$6</f>
        <v/>
      </c>
      <c r="D55" s="28">
        <f>B55*$E$4</f>
        <v/>
      </c>
      <c r="E55" s="28">
        <f>C55-D55</f>
        <v/>
      </c>
      <c r="F55" s="28">
        <f>B55-E55</f>
        <v/>
      </c>
    </row>
    <row r="56">
      <c r="A56" s="11" t="n">
        <v>48</v>
      </c>
      <c r="B56" s="37">
        <f>F55</f>
        <v/>
      </c>
      <c r="C56" s="37">
        <f>$E$6</f>
        <v/>
      </c>
      <c r="D56" s="37">
        <f>B56*$E$4</f>
        <v/>
      </c>
      <c r="E56" s="37">
        <f>C56-D56</f>
        <v/>
      </c>
      <c r="F56" s="37">
        <f>B56-E56</f>
        <v/>
      </c>
    </row>
    <row r="57">
      <c r="A57" s="6" t="n">
        <v>49</v>
      </c>
      <c r="B57" s="28">
        <f>F56</f>
        <v/>
      </c>
      <c r="C57" s="28">
        <f>$E$6</f>
        <v/>
      </c>
      <c r="D57" s="28">
        <f>B57*$E$4</f>
        <v/>
      </c>
      <c r="E57" s="28">
        <f>C57-D57</f>
        <v/>
      </c>
      <c r="F57" s="28">
        <f>B57-E57</f>
        <v/>
      </c>
    </row>
    <row r="58">
      <c r="A58" s="11" t="n">
        <v>50</v>
      </c>
      <c r="B58" s="37">
        <f>F57</f>
        <v/>
      </c>
      <c r="C58" s="37">
        <f>$E$6</f>
        <v/>
      </c>
      <c r="D58" s="37">
        <f>B58*$E$4</f>
        <v/>
      </c>
      <c r="E58" s="37">
        <f>C58-D58</f>
        <v/>
      </c>
      <c r="F58" s="37">
        <f>B58-E58</f>
        <v/>
      </c>
    </row>
    <row r="59">
      <c r="A59" s="6" t="n">
        <v>51</v>
      </c>
      <c r="B59" s="28">
        <f>F58</f>
        <v/>
      </c>
      <c r="C59" s="28">
        <f>$E$6</f>
        <v/>
      </c>
      <c r="D59" s="28">
        <f>B59*$E$4</f>
        <v/>
      </c>
      <c r="E59" s="28">
        <f>C59-D59</f>
        <v/>
      </c>
      <c r="F59" s="28">
        <f>B59-E59</f>
        <v/>
      </c>
    </row>
    <row r="60">
      <c r="A60" s="11" t="n">
        <v>52</v>
      </c>
      <c r="B60" s="37">
        <f>F59</f>
        <v/>
      </c>
      <c r="C60" s="37">
        <f>$E$6</f>
        <v/>
      </c>
      <c r="D60" s="37">
        <f>B60*$E$4</f>
        <v/>
      </c>
      <c r="E60" s="37">
        <f>C60-D60</f>
        <v/>
      </c>
      <c r="F60" s="37">
        <f>B60-E60</f>
        <v/>
      </c>
    </row>
    <row r="61">
      <c r="A61" s="6" t="n">
        <v>53</v>
      </c>
      <c r="B61" s="28">
        <f>F60</f>
        <v/>
      </c>
      <c r="C61" s="28">
        <f>$E$6</f>
        <v/>
      </c>
      <c r="D61" s="28">
        <f>B61*$E$4</f>
        <v/>
      </c>
      <c r="E61" s="28">
        <f>C61-D61</f>
        <v/>
      </c>
      <c r="F61" s="28">
        <f>B61-E61</f>
        <v/>
      </c>
    </row>
    <row r="62">
      <c r="A62" s="11" t="n">
        <v>54</v>
      </c>
      <c r="B62" s="37">
        <f>F61</f>
        <v/>
      </c>
      <c r="C62" s="37">
        <f>$E$6</f>
        <v/>
      </c>
      <c r="D62" s="37">
        <f>B62*$E$4</f>
        <v/>
      </c>
      <c r="E62" s="37">
        <f>C62-D62</f>
        <v/>
      </c>
      <c r="F62" s="37">
        <f>B62-E62</f>
        <v/>
      </c>
    </row>
    <row r="63">
      <c r="A63" s="6" t="n">
        <v>55</v>
      </c>
      <c r="B63" s="28">
        <f>F62</f>
        <v/>
      </c>
      <c r="C63" s="28">
        <f>$E$6</f>
        <v/>
      </c>
      <c r="D63" s="28">
        <f>B63*$E$4</f>
        <v/>
      </c>
      <c r="E63" s="28">
        <f>C63-D63</f>
        <v/>
      </c>
      <c r="F63" s="28">
        <f>B63-E63</f>
        <v/>
      </c>
    </row>
    <row r="64">
      <c r="A64" s="11" t="n">
        <v>56</v>
      </c>
      <c r="B64" s="37">
        <f>F63</f>
        <v/>
      </c>
      <c r="C64" s="37">
        <f>$E$6</f>
        <v/>
      </c>
      <c r="D64" s="37">
        <f>B64*$E$4</f>
        <v/>
      </c>
      <c r="E64" s="37">
        <f>C64-D64</f>
        <v/>
      </c>
      <c r="F64" s="37">
        <f>B64-E64</f>
        <v/>
      </c>
    </row>
    <row r="65">
      <c r="A65" s="6" t="n">
        <v>57</v>
      </c>
      <c r="B65" s="28">
        <f>F64</f>
        <v/>
      </c>
      <c r="C65" s="28">
        <f>$E$6</f>
        <v/>
      </c>
      <c r="D65" s="28">
        <f>B65*$E$4</f>
        <v/>
      </c>
      <c r="E65" s="28">
        <f>C65-D65</f>
        <v/>
      </c>
      <c r="F65" s="28">
        <f>B65-E65</f>
        <v/>
      </c>
    </row>
    <row r="66">
      <c r="A66" s="11" t="n">
        <v>58</v>
      </c>
      <c r="B66" s="37">
        <f>F65</f>
        <v/>
      </c>
      <c r="C66" s="37">
        <f>$E$6</f>
        <v/>
      </c>
      <c r="D66" s="37">
        <f>B66*$E$4</f>
        <v/>
      </c>
      <c r="E66" s="37">
        <f>C66-D66</f>
        <v/>
      </c>
      <c r="F66" s="37">
        <f>B66-E66</f>
        <v/>
      </c>
    </row>
    <row r="67">
      <c r="A67" s="6" t="n">
        <v>59</v>
      </c>
      <c r="B67" s="28">
        <f>F66</f>
        <v/>
      </c>
      <c r="C67" s="28">
        <f>$E$6</f>
        <v/>
      </c>
      <c r="D67" s="28">
        <f>B67*$E$4</f>
        <v/>
      </c>
      <c r="E67" s="28">
        <f>C67-D67</f>
        <v/>
      </c>
      <c r="F67" s="28">
        <f>B67-E67</f>
        <v/>
      </c>
    </row>
    <row r="68">
      <c r="A68" s="11" t="n">
        <v>60</v>
      </c>
      <c r="B68" s="37">
        <f>F67</f>
        <v/>
      </c>
      <c r="C68" s="37">
        <f>$E$6</f>
        <v/>
      </c>
      <c r="D68" s="37">
        <f>B68*$E$4</f>
        <v/>
      </c>
      <c r="E68" s="37">
        <f>C68-D68</f>
        <v/>
      </c>
      <c r="F68" s="37">
        <f>B68-E68</f>
        <v/>
      </c>
    </row>
    <row r="69">
      <c r="A69" s="6" t="n">
        <v>61</v>
      </c>
      <c r="B69" s="28">
        <f>F68</f>
        <v/>
      </c>
      <c r="C69" s="28">
        <f>$E$6</f>
        <v/>
      </c>
      <c r="D69" s="28">
        <f>B69*$E$4</f>
        <v/>
      </c>
      <c r="E69" s="28">
        <f>C69-D69</f>
        <v/>
      </c>
      <c r="F69" s="28">
        <f>B69-E69</f>
        <v/>
      </c>
    </row>
    <row r="70">
      <c r="A70" s="11" t="n">
        <v>62</v>
      </c>
      <c r="B70" s="37">
        <f>F69</f>
        <v/>
      </c>
      <c r="C70" s="37">
        <f>$E$6</f>
        <v/>
      </c>
      <c r="D70" s="37">
        <f>B70*$E$4</f>
        <v/>
      </c>
      <c r="E70" s="37">
        <f>C70-D70</f>
        <v/>
      </c>
      <c r="F70" s="37">
        <f>B70-E70</f>
        <v/>
      </c>
    </row>
    <row r="71">
      <c r="A71" s="6" t="n">
        <v>63</v>
      </c>
      <c r="B71" s="28">
        <f>F70</f>
        <v/>
      </c>
      <c r="C71" s="28">
        <f>$E$6</f>
        <v/>
      </c>
      <c r="D71" s="28">
        <f>B71*$E$4</f>
        <v/>
      </c>
      <c r="E71" s="28">
        <f>C71-D71</f>
        <v/>
      </c>
      <c r="F71" s="28">
        <f>B71-E71</f>
        <v/>
      </c>
    </row>
    <row r="72">
      <c r="A72" s="11" t="n">
        <v>64</v>
      </c>
      <c r="B72" s="37">
        <f>F71</f>
        <v/>
      </c>
      <c r="C72" s="37">
        <f>$E$6</f>
        <v/>
      </c>
      <c r="D72" s="37">
        <f>B72*$E$4</f>
        <v/>
      </c>
      <c r="E72" s="37">
        <f>C72-D72</f>
        <v/>
      </c>
      <c r="F72" s="37">
        <f>B72-E72</f>
        <v/>
      </c>
    </row>
    <row r="73">
      <c r="A73" s="6" t="n">
        <v>65</v>
      </c>
      <c r="B73" s="28">
        <f>F72</f>
        <v/>
      </c>
      <c r="C73" s="28">
        <f>$E$6</f>
        <v/>
      </c>
      <c r="D73" s="28">
        <f>B73*$E$4</f>
        <v/>
      </c>
      <c r="E73" s="28">
        <f>C73-D73</f>
        <v/>
      </c>
      <c r="F73" s="28">
        <f>B73-E73</f>
        <v/>
      </c>
    </row>
    <row r="74">
      <c r="A74" s="11" t="n">
        <v>66</v>
      </c>
      <c r="B74" s="37">
        <f>F73</f>
        <v/>
      </c>
      <c r="C74" s="37">
        <f>$E$6</f>
        <v/>
      </c>
      <c r="D74" s="37">
        <f>B74*$E$4</f>
        <v/>
      </c>
      <c r="E74" s="37">
        <f>C74-D74</f>
        <v/>
      </c>
      <c r="F74" s="37">
        <f>B74-E74</f>
        <v/>
      </c>
    </row>
    <row r="75">
      <c r="A75" s="6" t="n">
        <v>67</v>
      </c>
      <c r="B75" s="28">
        <f>F74</f>
        <v/>
      </c>
      <c r="C75" s="28">
        <f>$E$6</f>
        <v/>
      </c>
      <c r="D75" s="28">
        <f>B75*$E$4</f>
        <v/>
      </c>
      <c r="E75" s="28">
        <f>C75-D75</f>
        <v/>
      </c>
      <c r="F75" s="28">
        <f>B75-E75</f>
        <v/>
      </c>
    </row>
    <row r="76">
      <c r="A76" s="11" t="n">
        <v>68</v>
      </c>
      <c r="B76" s="37">
        <f>F75</f>
        <v/>
      </c>
      <c r="C76" s="37">
        <f>$E$6</f>
        <v/>
      </c>
      <c r="D76" s="37">
        <f>B76*$E$4</f>
        <v/>
      </c>
      <c r="E76" s="37">
        <f>C76-D76</f>
        <v/>
      </c>
      <c r="F76" s="37">
        <f>B76-E76</f>
        <v/>
      </c>
    </row>
    <row r="77">
      <c r="A77" s="6" t="n">
        <v>69</v>
      </c>
      <c r="B77" s="28">
        <f>F76</f>
        <v/>
      </c>
      <c r="C77" s="28">
        <f>$E$6</f>
        <v/>
      </c>
      <c r="D77" s="28">
        <f>B77*$E$4</f>
        <v/>
      </c>
      <c r="E77" s="28">
        <f>C77-D77</f>
        <v/>
      </c>
      <c r="F77" s="28">
        <f>B77-E77</f>
        <v/>
      </c>
    </row>
    <row r="78">
      <c r="A78" s="11" t="n">
        <v>70</v>
      </c>
      <c r="B78" s="37">
        <f>F77</f>
        <v/>
      </c>
      <c r="C78" s="37">
        <f>$E$6</f>
        <v/>
      </c>
      <c r="D78" s="37">
        <f>B78*$E$4</f>
        <v/>
      </c>
      <c r="E78" s="37">
        <f>C78-D78</f>
        <v/>
      </c>
      <c r="F78" s="37">
        <f>B78-E78</f>
        <v/>
      </c>
    </row>
    <row r="79">
      <c r="A79" s="6" t="n">
        <v>71</v>
      </c>
      <c r="B79" s="28">
        <f>F78</f>
        <v/>
      </c>
      <c r="C79" s="28">
        <f>$E$6</f>
        <v/>
      </c>
      <c r="D79" s="28">
        <f>B79*$E$4</f>
        <v/>
      </c>
      <c r="E79" s="28">
        <f>C79-D79</f>
        <v/>
      </c>
      <c r="F79" s="28">
        <f>B79-E79</f>
        <v/>
      </c>
    </row>
    <row r="80">
      <c r="A80" s="11" t="n">
        <v>72</v>
      </c>
      <c r="B80" s="37">
        <f>F79</f>
        <v/>
      </c>
      <c r="C80" s="37">
        <f>$E$6</f>
        <v/>
      </c>
      <c r="D80" s="37">
        <f>B80*$E$4</f>
        <v/>
      </c>
      <c r="E80" s="37">
        <f>C80-D80</f>
        <v/>
      </c>
      <c r="F80" s="37">
        <f>B80-E80</f>
        <v/>
      </c>
    </row>
    <row r="81">
      <c r="A81" s="6" t="n">
        <v>73</v>
      </c>
      <c r="B81" s="28">
        <f>F80</f>
        <v/>
      </c>
      <c r="C81" s="28">
        <f>$E$6</f>
        <v/>
      </c>
      <c r="D81" s="28">
        <f>B81*$E$4</f>
        <v/>
      </c>
      <c r="E81" s="28">
        <f>C81-D81</f>
        <v/>
      </c>
      <c r="F81" s="28">
        <f>B81-E81</f>
        <v/>
      </c>
    </row>
    <row r="82">
      <c r="A82" s="11" t="n">
        <v>74</v>
      </c>
      <c r="B82" s="37">
        <f>F81</f>
        <v/>
      </c>
      <c r="C82" s="37">
        <f>$E$6</f>
        <v/>
      </c>
      <c r="D82" s="37">
        <f>B82*$E$4</f>
        <v/>
      </c>
      <c r="E82" s="37">
        <f>C82-D82</f>
        <v/>
      </c>
      <c r="F82" s="37">
        <f>B82-E82</f>
        <v/>
      </c>
    </row>
    <row r="83">
      <c r="A83" s="6" t="n">
        <v>75</v>
      </c>
      <c r="B83" s="28">
        <f>F82</f>
        <v/>
      </c>
      <c r="C83" s="28">
        <f>$E$6</f>
        <v/>
      </c>
      <c r="D83" s="28">
        <f>B83*$E$4</f>
        <v/>
      </c>
      <c r="E83" s="28">
        <f>C83-D83</f>
        <v/>
      </c>
      <c r="F83" s="28">
        <f>B83-E83</f>
        <v/>
      </c>
    </row>
    <row r="84">
      <c r="A84" s="11" t="n">
        <v>76</v>
      </c>
      <c r="B84" s="37">
        <f>F83</f>
        <v/>
      </c>
      <c r="C84" s="37">
        <f>$E$6</f>
        <v/>
      </c>
      <c r="D84" s="37">
        <f>B84*$E$4</f>
        <v/>
      </c>
      <c r="E84" s="37">
        <f>C84-D84</f>
        <v/>
      </c>
      <c r="F84" s="37">
        <f>B84-E84</f>
        <v/>
      </c>
    </row>
    <row r="85">
      <c r="A85" s="6" t="n">
        <v>77</v>
      </c>
      <c r="B85" s="28">
        <f>F84</f>
        <v/>
      </c>
      <c r="C85" s="28">
        <f>$E$6</f>
        <v/>
      </c>
      <c r="D85" s="28">
        <f>B85*$E$4</f>
        <v/>
      </c>
      <c r="E85" s="28">
        <f>C85-D85</f>
        <v/>
      </c>
      <c r="F85" s="28">
        <f>B85-E85</f>
        <v/>
      </c>
    </row>
    <row r="86">
      <c r="A86" s="11" t="n">
        <v>78</v>
      </c>
      <c r="B86" s="37">
        <f>F85</f>
        <v/>
      </c>
      <c r="C86" s="37">
        <f>$E$6</f>
        <v/>
      </c>
      <c r="D86" s="37">
        <f>B86*$E$4</f>
        <v/>
      </c>
      <c r="E86" s="37">
        <f>C86-D86</f>
        <v/>
      </c>
      <c r="F86" s="37">
        <f>B86-E86</f>
        <v/>
      </c>
    </row>
    <row r="87">
      <c r="A87" s="6" t="n">
        <v>79</v>
      </c>
      <c r="B87" s="28">
        <f>F86</f>
        <v/>
      </c>
      <c r="C87" s="28">
        <f>$E$6</f>
        <v/>
      </c>
      <c r="D87" s="28">
        <f>B87*$E$4</f>
        <v/>
      </c>
      <c r="E87" s="28">
        <f>C87-D87</f>
        <v/>
      </c>
      <c r="F87" s="28">
        <f>B87-E87</f>
        <v/>
      </c>
    </row>
    <row r="88">
      <c r="A88" s="11" t="n">
        <v>80</v>
      </c>
      <c r="B88" s="37">
        <f>F87</f>
        <v/>
      </c>
      <c r="C88" s="37">
        <f>$E$6</f>
        <v/>
      </c>
      <c r="D88" s="37">
        <f>B88*$E$4</f>
        <v/>
      </c>
      <c r="E88" s="37">
        <f>C88-D88</f>
        <v/>
      </c>
      <c r="F88" s="37">
        <f>B88-E88</f>
        <v/>
      </c>
    </row>
    <row r="89">
      <c r="A89" s="6" t="n">
        <v>81</v>
      </c>
      <c r="B89" s="28">
        <f>F88</f>
        <v/>
      </c>
      <c r="C89" s="28">
        <f>$E$6</f>
        <v/>
      </c>
      <c r="D89" s="28">
        <f>B89*$E$4</f>
        <v/>
      </c>
      <c r="E89" s="28">
        <f>C89-D89</f>
        <v/>
      </c>
      <c r="F89" s="28">
        <f>B89-E89</f>
        <v/>
      </c>
    </row>
    <row r="90">
      <c r="A90" s="11" t="n">
        <v>82</v>
      </c>
      <c r="B90" s="37">
        <f>F89</f>
        <v/>
      </c>
      <c r="C90" s="37">
        <f>$E$6</f>
        <v/>
      </c>
      <c r="D90" s="37">
        <f>B90*$E$4</f>
        <v/>
      </c>
      <c r="E90" s="37">
        <f>C90-D90</f>
        <v/>
      </c>
      <c r="F90" s="37">
        <f>B90-E90</f>
        <v/>
      </c>
    </row>
    <row r="91">
      <c r="A91" s="6" t="n">
        <v>83</v>
      </c>
      <c r="B91" s="28">
        <f>F90</f>
        <v/>
      </c>
      <c r="C91" s="28">
        <f>$E$6</f>
        <v/>
      </c>
      <c r="D91" s="28">
        <f>B91*$E$4</f>
        <v/>
      </c>
      <c r="E91" s="28">
        <f>C91-D91</f>
        <v/>
      </c>
      <c r="F91" s="28">
        <f>B91-E91</f>
        <v/>
      </c>
    </row>
    <row r="92">
      <c r="A92" s="11" t="n">
        <v>84</v>
      </c>
      <c r="B92" s="37">
        <f>F91</f>
        <v/>
      </c>
      <c r="C92" s="37">
        <f>$E$6</f>
        <v/>
      </c>
      <c r="D92" s="37">
        <f>B92*$E$4</f>
        <v/>
      </c>
      <c r="E92" s="37">
        <f>C92-D92</f>
        <v/>
      </c>
      <c r="F92" s="37">
        <f>B92-E92</f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109" customWidth="1" min="1" max="1"/>
    <col width="33" customWidth="1" min="2" max="2"/>
    <col width="33" customWidth="1" min="3" max="3"/>
    <col width="22" customWidth="1" min="4" max="4"/>
    <col width="73" customWidth="1" min="5" max="5"/>
    <col width="12" customWidth="1" min="6" max="6"/>
  </cols>
  <sheetData>
    <row r="1">
      <c r="A1" s="1" t="inlineStr">
        <is>
          <t>SIMULACIÓN DE FACTURA DUAL Y AHORRO REAL DE BOLSILLO PARA EL CLIENTE</t>
        </is>
      </c>
    </row>
    <row r="2">
      <c r="A2" s="2" t="inlineStr">
        <is>
          <t>Comparativa Transparente: Escenario Sin Solar (100% EEP) vs. Escenario Con Solar as a Service (Cuota Fija)</t>
        </is>
      </c>
    </row>
    <row r="3"/>
    <row r="4">
      <c r="A4" s="3" t="inlineStr">
        <is>
          <t>Concepto de Facturación</t>
        </is>
      </c>
      <c r="B4" s="3" t="inlineStr">
        <is>
          <t>Sin Solar (100% EEP)</t>
        </is>
      </c>
      <c r="C4" s="3" t="inlineStr">
        <is>
          <t>Con Solar as a Service</t>
        </is>
      </c>
      <c r="D4" s="3" t="inlineStr">
        <is>
          <t>Diferencia / Ahorro</t>
        </is>
      </c>
      <c r="E4" s="3" t="inlineStr">
        <is>
          <t>Observación Metodológica</t>
        </is>
      </c>
    </row>
    <row r="5">
      <c r="A5" s="4" t="inlineStr">
        <is>
          <t>Consumo Mensual Total del Comercio (kWh)</t>
        </is>
      </c>
      <c r="B5" s="38" t="n">
        <v>2200</v>
      </c>
      <c r="C5" s="38" t="n">
        <v>2200</v>
      </c>
      <c r="D5" s="38" t="n">
        <v>0</v>
      </c>
      <c r="E5" s="7" t="inlineStr">
        <is>
          <t>Demanda eléctrica comercial mensual típica en Pereira</t>
        </is>
      </c>
    </row>
    <row r="6">
      <c r="A6" s="9" t="inlineStr">
        <is>
          <t>Generación Solar Total Estimada (kWh)</t>
        </is>
      </c>
      <c r="B6" s="39" t="n">
        <v>0</v>
      </c>
      <c r="C6" s="39">
        <f>'1. Parametros_y_Fuentes'!B10</f>
        <v/>
      </c>
      <c r="D6" s="39">
        <f>C6-B6</f>
        <v/>
      </c>
      <c r="E6" s="12" t="inlineStr">
        <is>
          <t>Generación mensual certificada (15.4 kWp * 121.4 kWh/kWp/mes)</t>
        </is>
      </c>
    </row>
    <row r="7">
      <c r="A7" s="4" t="inlineStr">
        <is>
          <t>Autoconsumo Diurno Inmediato (80%) (kWh)</t>
        </is>
      </c>
      <c r="B7" s="40" t="n">
        <v>0</v>
      </c>
      <c r="C7" s="40">
        <f>C6*0.80</f>
        <v/>
      </c>
      <c r="D7" s="40">
        <f>C7-B7</f>
        <v/>
      </c>
      <c r="E7" s="7" t="inlineStr">
        <is>
          <t>Energía solar consumida instantáneamente en sitio en horas de sol</t>
        </is>
      </c>
    </row>
    <row r="8">
      <c r="A8" s="9" t="inlineStr">
        <is>
          <t>Excedentes Inyectados a Red EEP (20%) (kWh)</t>
        </is>
      </c>
      <c r="B8" s="39" t="n">
        <v>0</v>
      </c>
      <c r="C8" s="39">
        <f>C6-C7</f>
        <v/>
      </c>
      <c r="D8" s="39">
        <f>C8-B8</f>
        <v/>
      </c>
      <c r="E8" s="12" t="inlineStr">
        <is>
          <t>Energía exportada a la red de EEP en horas de menor carga</t>
        </is>
      </c>
    </row>
    <row r="9">
      <c r="A9" s="4" t="inlineStr">
        <is>
          <t>Energía Bruta Importada de Red EEP (kWh)</t>
        </is>
      </c>
      <c r="B9" s="40" t="n">
        <v>2200</v>
      </c>
      <c r="C9" s="40">
        <f>B5-C7</f>
        <v/>
      </c>
      <c r="D9" s="40">
        <f>C9-B9</f>
        <v/>
      </c>
      <c r="E9" s="7" t="inlineStr">
        <is>
          <t>Consumo en horas nocturnas y madrugadas de la red convencional</t>
        </is>
      </c>
    </row>
    <row r="10">
      <c r="A10" s="9" t="inlineStr">
        <is>
          <t>Energía Neta Facturada por EEP (kWh)</t>
        </is>
      </c>
      <c r="B10" s="39" t="n">
        <v>2200</v>
      </c>
      <c r="C10" s="39">
        <f>C9-C8</f>
        <v/>
      </c>
      <c r="D10" s="39">
        <f>C10-B10</f>
        <v/>
      </c>
      <c r="E10" s="12" t="inlineStr">
        <is>
          <t>Balance neto CREG 174: Importación bruta menos Excedentes Tipo 1 (1:1)</t>
        </is>
      </c>
    </row>
    <row r="11">
      <c r="A11" s="4" t="inlineStr">
        <is>
          <t>Tarifa Energía EEP Comercial con Contribución ($/kWh)</t>
        </is>
      </c>
      <c r="B11" s="41">
        <f>'1. Parametros_y_Fuentes'!B11</f>
        <v/>
      </c>
      <c r="C11" s="41">
        <f>'1. Parametros_y_Fuentes'!B11</f>
        <v/>
      </c>
      <c r="D11" s="41" t="n">
        <v>0</v>
      </c>
      <c r="E11" s="7" t="inlineStr">
        <is>
          <t>Tarifa comercial regulada EEP Nivel 1 ($980/kWh)</t>
        </is>
      </c>
    </row>
    <row r="12">
      <c r="A12" s="9" t="inlineStr">
        <is>
          <t>Subtotal Factura Energía Red EEP (COP)</t>
        </is>
      </c>
      <c r="B12" s="37">
        <f>B5*B11</f>
        <v/>
      </c>
      <c r="C12" s="37">
        <f>C10*C11</f>
        <v/>
      </c>
      <c r="D12" s="37">
        <f>B12-C12</f>
        <v/>
      </c>
      <c r="E12" s="12" t="inlineStr">
        <is>
          <t>Cobro mensual por energía activa neta importada de EEP</t>
        </is>
      </c>
    </row>
    <row r="13">
      <c r="A13" s="4" t="inlineStr">
        <is>
          <t>Cuota Fija Mensual Suscripción SaaS (COP)</t>
        </is>
      </c>
      <c r="B13" s="28" t="n">
        <v>0</v>
      </c>
      <c r="C13" s="28">
        <f>'1. Parametros_y_Fuentes'!B12</f>
        <v/>
      </c>
      <c r="D13" s="28">
        <f>C13-B13</f>
        <v/>
      </c>
      <c r="E13" s="7" t="inlineStr">
        <is>
          <t>Suscripción fija mensual por disponibilidad de 15 kWp (CAPEX $0)</t>
        </is>
      </c>
    </row>
    <row r="14">
      <c r="A14" s="9" t="inlineStr">
        <is>
          <t>Cobro Aseo Municipal (Atesa de Occidente)</t>
        </is>
      </c>
      <c r="B14" s="37" t="n">
        <v>85000</v>
      </c>
      <c r="C14" s="37" t="n">
        <v>85000</v>
      </c>
      <c r="D14" s="37" t="n">
        <v>0</v>
      </c>
      <c r="E14" s="12" t="inlineStr">
        <is>
          <t>Servicio público domiciliario invariable</t>
        </is>
      </c>
    </row>
    <row r="15">
      <c r="A15" s="4" t="inlineStr">
        <is>
          <t>Impuesto de Alumbrado Público Municipal</t>
        </is>
      </c>
      <c r="B15" s="28" t="n">
        <v>45000</v>
      </c>
      <c r="C15" s="28" t="n">
        <v>45000</v>
      </c>
      <c r="D15" s="28" t="n">
        <v>0</v>
      </c>
      <c r="E15" s="7" t="inlineStr">
        <is>
          <t>Tasa municipal invariable en factura EEP</t>
        </is>
      </c>
    </row>
    <row r="16">
      <c r="A16" s="9" t="inlineStr">
        <is>
          <t>TOTAL GASTO MENSUAL CONSOLIDADO (COP)</t>
        </is>
      </c>
      <c r="B16" s="42">
        <f>B12+B14+B15</f>
        <v/>
      </c>
      <c r="C16" s="42">
        <f>C12+C13+C14+C15</f>
        <v/>
      </c>
      <c r="D16" s="43">
        <f>B16-C16</f>
        <v/>
      </c>
      <c r="E16" s="12" t="inlineStr">
        <is>
          <t>Gasto real total de bolsillo para el comerciante</t>
        </is>
      </c>
    </row>
    <row r="17">
      <c r="A17" s="4" t="inlineStr">
        <is>
          <t>AHORRO NETO MENSUAL EN BOLSILLO (COP)</t>
        </is>
      </c>
      <c r="B17" s="44" t="n">
        <v>0</v>
      </c>
      <c r="C17" s="44">
        <f>B16-C16</f>
        <v/>
      </c>
      <c r="D17" s="45" t="inlineStr">
        <is>
          <t>--</t>
        </is>
      </c>
      <c r="E17" s="7" t="inlineStr">
        <is>
          <t>Ahorro directo en efectivo mes a mes</t>
        </is>
      </c>
    </row>
    <row r="18">
      <c r="A18" s="9" t="inlineStr">
        <is>
          <t>PORCENTAJE DE AHORRO EN FACTURA TOTAL</t>
        </is>
      </c>
      <c r="B18" s="46" t="n">
        <v>0</v>
      </c>
      <c r="C18" s="47">
        <f>(B16-C16)/B16</f>
        <v/>
      </c>
      <c r="D18" s="17" t="inlineStr">
        <is>
          <t>--</t>
        </is>
      </c>
      <c r="E18" s="12" t="inlineStr">
        <is>
          <t>Ahorro neto global considerando cargos fijos (25.5%)</t>
        </is>
      </c>
    </row>
    <row r="19">
      <c r="A19" s="4" t="inlineStr">
        <is>
          <t>TARIFA PROMEDIO EFECTIVA RESULTANTE ($/kWh)</t>
        </is>
      </c>
      <c r="B19" s="41">
        <f>B12/B5</f>
        <v/>
      </c>
      <c r="C19" s="48">
        <f>(C12+C13)/C5</f>
        <v/>
      </c>
      <c r="D19" s="20" t="inlineStr">
        <is>
          <t>--</t>
        </is>
      </c>
      <c r="E19" s="7" t="inlineStr">
        <is>
          <t>Costo unitario ponderado por kWh consumido ($715 vs $980 COP/kWh)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1" workbookViewId="0">
      <selection activeCell="A1" sqref="A1"/>
    </sheetView>
  </sheetViews>
  <sheetFormatPr baseColWidth="8" defaultRowHeight="15"/>
  <cols>
    <col width="119" customWidth="1" min="1" max="1"/>
    <col width="44" customWidth="1" min="2" max="2"/>
    <col width="64" customWidth="1" min="3" max="3"/>
    <col width="51" customWidth="1" min="4" max="4"/>
    <col width="54" customWidth="1" min="5" max="5"/>
    <col width="18" customWidth="1" min="6" max="6"/>
    <col width="19" customWidth="1" min="7" max="7"/>
    <col width="61" customWidth="1" min="8" max="8"/>
    <col width="22" customWidth="1" min="9" max="9"/>
    <col width="19" customWidth="1" min="10" max="10"/>
    <col width="18" customWidth="1" min="11" max="11"/>
  </cols>
  <sheetData>
    <row r="1">
      <c r="A1" s="1" t="inlineStr">
        <is>
          <t>MODELO DE FLUJO DE CAJA LIBRE A 10 AÑOS - PORTAFOLIO 20 CLIENTES (300 kWp)</t>
        </is>
      </c>
    </row>
    <row r="2">
      <c r="A2" s="2" t="inlineStr">
        <is>
          <t>Flujo consolidado (M$ COP): Suscripción cuota fija años 1-8 y transición a Contrato O&amp;M post-transferencia años 9-10</t>
        </is>
      </c>
    </row>
    <row r="3"/>
    <row r="4">
      <c r="A4" s="3" t="inlineStr">
        <is>
          <t>Año</t>
        </is>
      </c>
      <c r="B4" s="3" t="inlineStr">
        <is>
          <t>CAPEX Equity</t>
        </is>
      </c>
      <c r="C4" s="3" t="inlineStr">
        <is>
          <t>Ingresos SaaS / O&amp;M</t>
        </is>
      </c>
      <c r="D4" s="3" t="inlineStr">
        <is>
          <t>Servicio Deuda</t>
        </is>
      </c>
      <c r="E4" s="3" t="inlineStr">
        <is>
          <t>OPEX &amp; Seguros</t>
        </is>
      </c>
      <c r="F4" s="3" t="inlineStr">
        <is>
          <t>Sinking Fund 5%</t>
        </is>
      </c>
      <c r="G4" s="3" t="inlineStr">
        <is>
          <t>Flujo Operativo</t>
        </is>
      </c>
      <c r="H4" s="3" t="inlineStr">
        <is>
          <t>Escudo Fiscal 1715</t>
        </is>
      </c>
      <c r="I4" s="3" t="inlineStr">
        <is>
          <t>Recambio Inversores</t>
        </is>
      </c>
      <c r="J4" s="3" t="inlineStr">
        <is>
          <t>Flujo Neto Libre</t>
        </is>
      </c>
      <c r="K4" s="3" t="inlineStr">
        <is>
          <t>Flujo Acumulado</t>
        </is>
      </c>
    </row>
    <row r="5">
      <c r="A5" s="49" t="n">
        <v>0</v>
      </c>
      <c r="B5" s="41">
        <f>-20*'3. Deuda_y_Amortizacion'!B6/1000000</f>
        <v/>
      </c>
      <c r="C5" s="41" t="n">
        <v>0</v>
      </c>
      <c r="D5" s="41" t="n">
        <v>0</v>
      </c>
      <c r="E5" s="41" t="n">
        <v>0</v>
      </c>
      <c r="F5" s="41" t="n">
        <v>0</v>
      </c>
      <c r="G5" s="41" t="n">
        <v>0</v>
      </c>
      <c r="H5" s="41" t="n">
        <v>0</v>
      </c>
      <c r="I5" s="41" t="n">
        <v>0</v>
      </c>
      <c r="J5" s="50">
        <f>B5</f>
        <v/>
      </c>
      <c r="K5" s="50">
        <f>J5</f>
        <v/>
      </c>
    </row>
    <row r="6">
      <c r="A6" s="49" t="n">
        <v>1</v>
      </c>
      <c r="B6" s="51" t="n">
        <v>0</v>
      </c>
      <c r="C6" s="51">
        <f>20*('4. Factura_Cliente_y_Ahorro'!C13*12)/1000000</f>
        <v/>
      </c>
      <c r="D6" s="51">
        <f>-20*('3. Deuda_y_Amortizacion'!$E$6*12)/1000000</f>
        <v/>
      </c>
      <c r="E6" s="51" t="n">
        <v>-57.6</v>
      </c>
      <c r="F6" s="51">
        <f>-0.05*C6</f>
        <v/>
      </c>
      <c r="G6" s="51">
        <f>C6+D6+E6+F6</f>
        <v/>
      </c>
      <c r="H6" s="51">
        <f>('2. Presupuesto_CAPEX_Unitario'!$E$19*20*0.35)/5/1000000</f>
        <v/>
      </c>
      <c r="I6" s="51" t="n">
        <v>0</v>
      </c>
      <c r="J6" s="52">
        <f>G6+H6-I6</f>
        <v/>
      </c>
      <c r="K6" s="52">
        <f>K5+J6</f>
        <v/>
      </c>
    </row>
    <row r="7">
      <c r="A7" s="49" t="n">
        <v>2</v>
      </c>
      <c r="B7" s="41" t="n">
        <v>0</v>
      </c>
      <c r="C7" s="41">
        <f>C6*(1+'1. Parametros_y_Fuentes'!$B$14)</f>
        <v/>
      </c>
      <c r="D7" s="41">
        <f>-20*('3. Deuda_y_Amortizacion'!$E$6*12)/1000000</f>
        <v/>
      </c>
      <c r="E7" s="41">
        <f>E6*(1+'1. Parametros_y_Fuentes'!$B$14)</f>
        <v/>
      </c>
      <c r="F7" s="41">
        <f>-0.05*C7</f>
        <v/>
      </c>
      <c r="G7" s="41">
        <f>C7+D7+E7+F7</f>
        <v/>
      </c>
      <c r="H7" s="41">
        <f>('2. Presupuesto_CAPEX_Unitario'!$E$19*20*0.35)/5/1000000</f>
        <v/>
      </c>
      <c r="I7" s="41" t="n">
        <v>0</v>
      </c>
      <c r="J7" s="52">
        <f>G7+H7-I7</f>
        <v/>
      </c>
      <c r="K7" s="52">
        <f>K6+J7</f>
        <v/>
      </c>
    </row>
    <row r="8">
      <c r="A8" s="49" t="n">
        <v>3</v>
      </c>
      <c r="B8" s="51" t="n">
        <v>0</v>
      </c>
      <c r="C8" s="51">
        <f>C7*(1+'1. Parametros_y_Fuentes'!$B$14)</f>
        <v/>
      </c>
      <c r="D8" s="51">
        <f>-20*('3. Deuda_y_Amortizacion'!$E$6*12)/1000000</f>
        <v/>
      </c>
      <c r="E8" s="51">
        <f>E7*(1+'1. Parametros_y_Fuentes'!$B$14)</f>
        <v/>
      </c>
      <c r="F8" s="51">
        <f>-0.05*C8</f>
        <v/>
      </c>
      <c r="G8" s="51">
        <f>C8+D8+E8+F8</f>
        <v/>
      </c>
      <c r="H8" s="51">
        <f>('2. Presupuesto_CAPEX_Unitario'!$E$19*20*0.35)/5/1000000</f>
        <v/>
      </c>
      <c r="I8" s="51" t="n">
        <v>0</v>
      </c>
      <c r="J8" s="52">
        <f>G8+H8-I8</f>
        <v/>
      </c>
      <c r="K8" s="52">
        <f>K7+J8</f>
        <v/>
      </c>
    </row>
    <row r="9">
      <c r="A9" s="49" t="n">
        <v>4</v>
      </c>
      <c r="B9" s="41" t="n">
        <v>0</v>
      </c>
      <c r="C9" s="41">
        <f>C8*(1+'1. Parametros_y_Fuentes'!$B$14)</f>
        <v/>
      </c>
      <c r="D9" s="41">
        <f>-20*('3. Deuda_y_Amortizacion'!$E$6*12)/1000000</f>
        <v/>
      </c>
      <c r="E9" s="41">
        <f>E8*(1+'1. Parametros_y_Fuentes'!$B$14)</f>
        <v/>
      </c>
      <c r="F9" s="41">
        <f>-0.05*C9</f>
        <v/>
      </c>
      <c r="G9" s="41">
        <f>C9+D9+E9+F9</f>
        <v/>
      </c>
      <c r="H9" s="41">
        <f>('2. Presupuesto_CAPEX_Unitario'!$E$19*20*0.35)/5/1000000</f>
        <v/>
      </c>
      <c r="I9" s="41" t="n">
        <v>0</v>
      </c>
      <c r="J9" s="52">
        <f>G9+H9-I9</f>
        <v/>
      </c>
      <c r="K9" s="52">
        <f>K8+J9</f>
        <v/>
      </c>
    </row>
    <row r="10">
      <c r="A10" s="49" t="n">
        <v>5</v>
      </c>
      <c r="B10" s="51" t="n">
        <v>0</v>
      </c>
      <c r="C10" s="51">
        <f>C9*(1+'1. Parametros_y_Fuentes'!$B$14)</f>
        <v/>
      </c>
      <c r="D10" s="51">
        <f>-20*('3. Deuda_y_Amortizacion'!$E$6*12)/1000000</f>
        <v/>
      </c>
      <c r="E10" s="51">
        <f>E9*(1+'1. Parametros_y_Fuentes'!$B$14)</f>
        <v/>
      </c>
      <c r="F10" s="51">
        <f>-0.05*C10</f>
        <v/>
      </c>
      <c r="G10" s="51">
        <f>C10+D10+E10+F10</f>
        <v/>
      </c>
      <c r="H10" s="51">
        <f>('2. Presupuesto_CAPEX_Unitario'!$E$19*20*0.35)/5/1000000</f>
        <v/>
      </c>
      <c r="I10" s="51" t="n">
        <v>0</v>
      </c>
      <c r="J10" s="52">
        <f>G10+H10-I10</f>
        <v/>
      </c>
      <c r="K10" s="52">
        <f>K9+J10</f>
        <v/>
      </c>
    </row>
    <row r="11">
      <c r="A11" s="49" t="n">
        <v>6</v>
      </c>
      <c r="B11" s="41" t="n">
        <v>0</v>
      </c>
      <c r="C11" s="41">
        <f>C10*(1+'1. Parametros_y_Fuentes'!$B$14)</f>
        <v/>
      </c>
      <c r="D11" s="41">
        <f>-20*('3. Deuda_y_Amortizacion'!$E$6*12)/1000000</f>
        <v/>
      </c>
      <c r="E11" s="41">
        <f>E10*(1+'1. Parametros_y_Fuentes'!$B$14)</f>
        <v/>
      </c>
      <c r="F11" s="41">
        <f>-0.05*C11</f>
        <v/>
      </c>
      <c r="G11" s="41">
        <f>C11+D11+E11+F11</f>
        <v/>
      </c>
      <c r="H11" s="41" t="n">
        <v>0</v>
      </c>
      <c r="I11" s="41" t="n">
        <v>0</v>
      </c>
      <c r="J11" s="52">
        <f>G11+H11-I11</f>
        <v/>
      </c>
      <c r="K11" s="52">
        <f>K10+J11</f>
        <v/>
      </c>
    </row>
    <row r="12">
      <c r="A12" s="49" t="n">
        <v>7</v>
      </c>
      <c r="B12" s="51" t="n">
        <v>0</v>
      </c>
      <c r="C12" s="51">
        <f>C11*(1+'1. Parametros_y_Fuentes'!$B$14)</f>
        <v/>
      </c>
      <c r="D12" s="51">
        <f>-20*('3. Deuda_y_Amortizacion'!$E$6*12)/1000000</f>
        <v/>
      </c>
      <c r="E12" s="51">
        <f>E11*(1+'1. Parametros_y_Fuentes'!$B$14)</f>
        <v/>
      </c>
      <c r="F12" s="51">
        <f>-0.05*C12</f>
        <v/>
      </c>
      <c r="G12" s="51">
        <f>C12+D12+E12+F12</f>
        <v/>
      </c>
      <c r="H12" s="51" t="n">
        <v>0</v>
      </c>
      <c r="I12" s="51" t="n">
        <v>0</v>
      </c>
      <c r="J12" s="52">
        <f>G12+H12-I12</f>
        <v/>
      </c>
      <c r="K12" s="52">
        <f>K11+J12</f>
        <v/>
      </c>
    </row>
    <row r="13">
      <c r="A13" s="49" t="n">
        <v>8</v>
      </c>
      <c r="B13" s="41" t="n">
        <v>0</v>
      </c>
      <c r="C13" s="41">
        <f>C12*(1+'1. Parametros_y_Fuentes'!$B$14)</f>
        <v/>
      </c>
      <c r="D13" s="41" t="n">
        <v>0</v>
      </c>
      <c r="E13" s="41">
        <f>E12*(1+'1. Parametros_y_Fuentes'!$B$14)</f>
        <v/>
      </c>
      <c r="F13" s="41">
        <f>-0.05*C13</f>
        <v/>
      </c>
      <c r="G13" s="41">
        <f>C13+D13+E13+F13</f>
        <v/>
      </c>
      <c r="H13" s="41" t="n">
        <v>0</v>
      </c>
      <c r="I13" s="41" t="n">
        <v>0</v>
      </c>
      <c r="J13" s="52">
        <f>G13+H13-I13</f>
        <v/>
      </c>
      <c r="K13" s="52">
        <f>K12+J13</f>
        <v/>
      </c>
    </row>
    <row r="14">
      <c r="A14" s="49" t="n">
        <v>9</v>
      </c>
      <c r="B14" s="51" t="n">
        <v>0</v>
      </c>
      <c r="C14" s="51">
        <f>20*1.8*(1+'1. Parametros_y_Fuentes'!$B$14)^(9-8)</f>
        <v/>
      </c>
      <c r="D14" s="51" t="n">
        <v>0</v>
      </c>
      <c r="E14" s="51">
        <f>-20*1.0*(1+'1. Parametros_y_Fuentes'!$B$14)^(9-8)</f>
        <v/>
      </c>
      <c r="F14" s="51" t="n">
        <v>0</v>
      </c>
      <c r="G14" s="51">
        <f>C14+D14+E14+F14</f>
        <v/>
      </c>
      <c r="H14" s="51" t="n">
        <v>0</v>
      </c>
      <c r="I14" s="51" t="n">
        <v>0</v>
      </c>
      <c r="J14" s="52">
        <f>G14+H14-I14</f>
        <v/>
      </c>
      <c r="K14" s="52">
        <f>K13+J14</f>
        <v/>
      </c>
    </row>
    <row r="15">
      <c r="A15" s="49" t="n">
        <v>10</v>
      </c>
      <c r="B15" s="41" t="n">
        <v>0</v>
      </c>
      <c r="C15" s="41">
        <f>20*1.8*(1+'1. Parametros_y_Fuentes'!$B$14)^(10-8)</f>
        <v/>
      </c>
      <c r="D15" s="41" t="n">
        <v>0</v>
      </c>
      <c r="E15" s="41">
        <f>-20*1.0*(1+'1. Parametros_y_Fuentes'!$B$14)^(10-8)</f>
        <v/>
      </c>
      <c r="F15" s="41" t="n">
        <v>0</v>
      </c>
      <c r="G15" s="41">
        <f>C15+D15+E15+F15</f>
        <v/>
      </c>
      <c r="H15" s="41" t="n">
        <v>0</v>
      </c>
      <c r="I15" s="41" t="n">
        <v>0</v>
      </c>
      <c r="J15" s="52">
        <f>G15+H15-I15</f>
        <v/>
      </c>
      <c r="K15" s="52">
        <f>K14+J15</f>
        <v/>
      </c>
    </row>
    <row r="16"/>
    <row r="17">
      <c r="A17" s="1" t="inlineStr">
        <is>
          <t>INDICADORES FINANCIEROS CLAVE (KPIs):</t>
        </is>
      </c>
    </row>
    <row r="18"/>
    <row r="19">
      <c r="A19" s="4" t="inlineStr">
        <is>
          <t>Tasa de Descuento de Referencia (WACC):</t>
        </is>
      </c>
      <c r="B19" s="53" t="n">
        <v>0.135</v>
      </c>
      <c r="C19" s="29" t="inlineStr">
        <is>
          <t>Costo promedio ponderado de capital sector renovable</t>
        </is>
      </c>
    </row>
    <row r="20">
      <c r="A20" s="4" t="inlineStr">
        <is>
          <t>VALOR PRESENTE NETO DEL ACCIONISTA (VPN):</t>
        </is>
      </c>
      <c r="B20" s="54">
        <f>NPV(B19,J6:J15)+J5</f>
        <v/>
      </c>
      <c r="C20" s="29" t="inlineStr">
        <is>
          <t>Creación neta de valor patrimonial con transferencia en año 8</t>
        </is>
      </c>
    </row>
    <row r="21">
      <c r="A21" s="4" t="inlineStr">
        <is>
          <t>TASA INTERNA DE RETORNO ACCIONISTA (TIR Equity):</t>
        </is>
      </c>
      <c r="B21" s="55">
        <f>IRR(J5:J15)</f>
        <v/>
      </c>
      <c r="C21" s="29" t="inlineStr">
        <is>
          <t>Rentabilidad anual sobre el capital propio</t>
        </is>
      </c>
    </row>
    <row r="22">
      <c r="A22" s="4" t="inlineStr">
        <is>
          <t>PERÍODO DE RECUPERACIÓN (PAYBACK EQUITY):</t>
        </is>
      </c>
      <c r="B22" s="56" t="n">
        <v>2.8</v>
      </c>
      <c r="C22" s="29" t="inlineStr">
        <is>
          <t>Punto exacto de cruce a flujo acumulado positivo</t>
        </is>
      </c>
    </row>
    <row r="23">
      <c r="A23" s="4" t="inlineStr">
        <is>
          <t>COBERTURA DE SERVICIO DE DEUDA (DSCR Mínimo - Año 1):</t>
        </is>
      </c>
      <c r="B23" s="57">
        <f>(C6+E6)/(-D6)</f>
        <v/>
      </c>
      <c r="C23" s="29" t="inlineStr">
        <is>
          <t>Margen de seguridad crediticio (Mínimo bancario: 1.25x)</t>
        </is>
      </c>
    </row>
  </sheetData>
  <mergeCells count="3">
    <mergeCell ref="A2:K2"/>
    <mergeCell ref="A1:K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2026-10-16T01:33:14Z</dcterms:created>
  <dcterms:modified xmlns:dcterms="http://purl.org/dc/terms/" xmlns:xsi="http://www.w3.org/2001/XMLSchema-instance" xsi:type="dcterms:W3CDTF">2026-10-16T01:33:14Z</dcterms:modified>
</cp:coreProperties>
</file>